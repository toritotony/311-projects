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zyP1VCZica3Ri5iGKAIKvQYAwVA=="/>
    </ext>
  </extLst>
</workbook>
</file>

<file path=xl/sharedStrings.xml><?xml version="1.0" encoding="utf-8"?>
<sst xmlns="http://schemas.openxmlformats.org/spreadsheetml/2006/main" count="20" uniqueCount="17">
  <si>
    <t>ITEM</t>
  </si>
  <si>
    <t>Weight</t>
  </si>
  <si>
    <t>Compost</t>
  </si>
  <si>
    <t>Bioplastics</t>
  </si>
  <si>
    <t>Mixed Recycling (Containers)</t>
  </si>
  <si>
    <t>Mixed Recycling (Paper)</t>
  </si>
  <si>
    <t>Recyclable Thin Film Plastics</t>
  </si>
  <si>
    <t>Recyclable Mixed Rigid Plastics</t>
  </si>
  <si>
    <t>Recyclable Scrap metal</t>
  </si>
  <si>
    <t>Recyclable Greenwaste</t>
  </si>
  <si>
    <t>Recyclable RightCycle Gloves</t>
  </si>
  <si>
    <t>Landfill</t>
  </si>
  <si>
    <t>Mixed Recycling</t>
  </si>
  <si>
    <t>Thin Film Plastics</t>
  </si>
  <si>
    <t>Scrap Metal</t>
  </si>
  <si>
    <t>Greenwaste</t>
  </si>
  <si>
    <t>RightCycle Gloves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</si>
</sst>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JGC Trash Dumpster Audit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Sheet1!$A$16:$A$23</c:f>
            </c:strRef>
          </c:cat>
          <c:val>
            <c:numRef>
              <c:f>Sheet1!$B$16:$B$23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10</xdr:row>
      <xdr:rowOff>38100</xdr:rowOff>
    </xdr:from>
    <xdr:ext cx="4371975" cy="2876550"/>
    <xdr:graphicFrame>
      <xdr:nvGraphicFramePr>
        <xdr:cNvPr id="35846264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6" width="7.63"/>
  </cols>
  <sheetData>
    <row r="1">
      <c r="A1" s="1" t="s">
        <v>0</v>
      </c>
      <c r="B1" s="1" t="s">
        <v>1</v>
      </c>
    </row>
    <row r="2">
      <c r="A2" s="1" t="s">
        <v>2</v>
      </c>
      <c r="B2" s="1">
        <v>47.54</v>
      </c>
      <c r="C2" s="2">
        <f>B2/B12</f>
        <v>0.3999326996</v>
      </c>
    </row>
    <row r="3">
      <c r="A3" s="1" t="s">
        <v>3</v>
      </c>
      <c r="B3" s="1">
        <v>2.85</v>
      </c>
      <c r="C3" s="2">
        <f>B3/B12</f>
        <v>0.02397577185</v>
      </c>
    </row>
    <row r="4">
      <c r="A4" s="1" t="s">
        <v>4</v>
      </c>
      <c r="B4" s="1">
        <v>16.11</v>
      </c>
      <c r="C4" s="2">
        <f>B4/B12</f>
        <v>0.1355262051</v>
      </c>
    </row>
    <row r="5">
      <c r="A5" s="1" t="s">
        <v>5</v>
      </c>
      <c r="B5" s="1">
        <v>5.0</v>
      </c>
      <c r="C5" s="2">
        <f>B5/B12</f>
        <v>0.04206275763</v>
      </c>
    </row>
    <row r="6">
      <c r="A6" s="1" t="s">
        <v>6</v>
      </c>
      <c r="B6" s="1">
        <v>14.22</v>
      </c>
      <c r="C6" s="2">
        <f>B6/B12</f>
        <v>0.1196264827</v>
      </c>
    </row>
    <row r="7">
      <c r="A7" s="1" t="s">
        <v>7</v>
      </c>
      <c r="B7" s="1">
        <v>0.2</v>
      </c>
      <c r="C7" s="2">
        <f>B7/B12</f>
        <v>0.001682510305</v>
      </c>
    </row>
    <row r="8">
      <c r="A8" s="1" t="s">
        <v>8</v>
      </c>
      <c r="B8" s="1">
        <v>12.49</v>
      </c>
      <c r="C8" s="2">
        <f>B8/B12</f>
        <v>0.1050727686</v>
      </c>
    </row>
    <row r="9">
      <c r="A9" s="1" t="s">
        <v>9</v>
      </c>
      <c r="B9" s="1">
        <v>1.74</v>
      </c>
      <c r="C9" s="2">
        <f>B9/B12</f>
        <v>0.01463783966</v>
      </c>
    </row>
    <row r="10">
      <c r="A10" s="1" t="s">
        <v>10</v>
      </c>
      <c r="B10" s="1">
        <v>1.11</v>
      </c>
      <c r="C10" s="2">
        <f>B10/B12</f>
        <v>0.009337932195</v>
      </c>
    </row>
    <row r="11">
      <c r="A11" s="1" t="s">
        <v>11</v>
      </c>
      <c r="B11" s="1">
        <v>17.61</v>
      </c>
      <c r="C11" s="2">
        <f>B11/B12</f>
        <v>0.1481450324</v>
      </c>
    </row>
    <row r="12">
      <c r="B12" s="1">
        <f t="shared" ref="B12:C12" si="1">SUM(B2:B11)</f>
        <v>118.87</v>
      </c>
      <c r="C12" s="3">
        <f t="shared" si="1"/>
        <v>1</v>
      </c>
    </row>
    <row r="16">
      <c r="A16" s="1" t="s">
        <v>0</v>
      </c>
    </row>
    <row r="17">
      <c r="A17" s="1" t="s">
        <v>2</v>
      </c>
      <c r="B17" s="2">
        <f>C2+C3</f>
        <v>0.4239084714</v>
      </c>
    </row>
    <row r="18">
      <c r="A18" s="1" t="s">
        <v>12</v>
      </c>
      <c r="B18" s="2">
        <f>C4+C5+C7</f>
        <v>0.179271473</v>
      </c>
    </row>
    <row r="19">
      <c r="A19" s="1" t="s">
        <v>13</v>
      </c>
      <c r="B19" s="2">
        <f>C6</f>
        <v>0.1196264827</v>
      </c>
    </row>
    <row r="20">
      <c r="A20" s="1" t="s">
        <v>14</v>
      </c>
      <c r="B20" s="2">
        <f t="shared" ref="B20:B23" si="2">C8</f>
        <v>0.1050727686</v>
      </c>
    </row>
    <row r="21" ht="15.75" customHeight="1">
      <c r="A21" s="1" t="s">
        <v>15</v>
      </c>
      <c r="B21" s="2">
        <f t="shared" si="2"/>
        <v>0.01463783966</v>
      </c>
    </row>
    <row r="22" ht="15.75" customHeight="1">
      <c r="A22" s="1" t="s">
        <v>16</v>
      </c>
      <c r="B22" s="2">
        <f t="shared" si="2"/>
        <v>0.009337932195</v>
      </c>
    </row>
    <row r="23" ht="15.75" customHeight="1">
      <c r="A23" s="1" t="s">
        <v>11</v>
      </c>
      <c r="B23" s="2">
        <f t="shared" si="2"/>
        <v>0.1481450324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2016-10-24T15:45:17Z</dcterms:created>
  <dc:creator>mpk9</dc:creator>
</cp:coreProperties>
</file>