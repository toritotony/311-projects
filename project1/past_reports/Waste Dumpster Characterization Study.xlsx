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h+9L+M2FiOsLewf5IS3GBzOf+CC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24">
      <text>
        <t xml:space="preserve">======
ID#AAAARDsags8
mpk9    (2021-10-21 20:25:11)
6.96 lbs of this was food, or 17% of total weight</t>
      </text>
    </comment>
    <comment authorId="0" ref="L2">
      <text>
        <t xml:space="preserve">======
ID#AAAARDsags4
mpk9    (2021-10-21 20:25:11)
Conducted by Alec Howard with my assistance</t>
      </text>
    </comment>
  </commentList>
  <extLst>
    <ext uri="GoogleSheetsCustomDataVersion1">
      <go:sheetsCustomData xmlns:go="http://customooxmlschemas.google.com/" r:id="rId1" roundtripDataSignature="AMtx7mir4SWn4TRS2n612c+lulUl0GWjzQ=="/>
    </ext>
  </extLst>
</comments>
</file>

<file path=xl/sharedStrings.xml><?xml version="1.0" encoding="utf-8"?>
<sst xmlns="http://schemas.openxmlformats.org/spreadsheetml/2006/main" count="99" uniqueCount="45">
  <si>
    <t>Humboldt State University Dry waste characterization studies</t>
  </si>
  <si>
    <t>Analyst</t>
  </si>
  <si>
    <t>ERD</t>
  </si>
  <si>
    <t>HSU OS</t>
  </si>
  <si>
    <t>RSA</t>
  </si>
  <si>
    <t>Date</t>
  </si>
  <si>
    <t>Location</t>
  </si>
  <si>
    <t>Campus</t>
  </si>
  <si>
    <t>Juniper (Creekview)</t>
  </si>
  <si>
    <t>Harry Griffith Hall</t>
  </si>
  <si>
    <t>Maple (Canyon)</t>
  </si>
  <si>
    <t>Sunset Hall</t>
  </si>
  <si>
    <t>Cnyn+Crkvw+Cypr</t>
  </si>
  <si>
    <t>Gross weight</t>
  </si>
  <si>
    <t>Tare weight</t>
  </si>
  <si>
    <t>Net weight</t>
  </si>
  <si>
    <t>Lbs</t>
  </si>
  <si>
    <t>Percent</t>
  </si>
  <si>
    <t>Scrap metal</t>
  </si>
  <si>
    <t>Rigid plastic</t>
  </si>
  <si>
    <t>Film plastic</t>
  </si>
  <si>
    <t>OCC</t>
  </si>
  <si>
    <t>Paper</t>
  </si>
  <si>
    <t>Tin cans</t>
  </si>
  <si>
    <t>PET</t>
  </si>
  <si>
    <t>HDPE color</t>
  </si>
  <si>
    <t>HDPE natural</t>
  </si>
  <si>
    <t>Glass</t>
  </si>
  <si>
    <t>Wire, e-waste</t>
  </si>
  <si>
    <t>UBC</t>
  </si>
  <si>
    <t>#3-7 plastic</t>
  </si>
  <si>
    <t>Aluminum</t>
  </si>
  <si>
    <t>Trash</t>
  </si>
  <si>
    <t>TOTAL</t>
  </si>
  <si>
    <t>% Trash</t>
  </si>
  <si>
    <t>% Recycling</t>
  </si>
  <si>
    <t>occ</t>
  </si>
  <si>
    <t>film</t>
  </si>
  <si>
    <t>scrap</t>
  </si>
  <si>
    <r>
      <rPr>
        <rFont val="Calibri"/>
        <color theme="1"/>
      </rPr>
      <t xml:space="preserve">LOCATION: </t>
    </r>
    <r>
      <rPr>
        <rFont val="Calibri"/>
        <color theme="1"/>
        <sz val="11.0"/>
        <u/>
      </rPr>
      <t>Harry Griffith Hall</t>
    </r>
  </si>
  <si>
    <t>DATE:</t>
  </si>
  <si>
    <t>Category</t>
  </si>
  <si>
    <t>Weight</t>
  </si>
  <si>
    <t>OCC (old corrugated cardboard)</t>
  </si>
  <si>
    <t>UBC (used aluminum beverage cans)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</si>
</sst>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/>
    <font>
      <sz val="26.0"/>
      <color theme="1"/>
      <name val="Calibri"/>
      <scheme val="minor"/>
    </font>
    <font>
      <b/>
      <sz val="18.0"/>
      <color theme="1"/>
      <name val="Calibri"/>
      <scheme val="minor"/>
    </font>
    <font>
      <sz val="11.0"/>
      <color rgb="FF000000"/>
      <name val="Calibri"/>
    </font>
    <font>
      <sz val="10.0"/>
      <color rgb="FF222222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2" xfId="0" applyFont="1" applyNumberFormat="1"/>
    <xf borderId="0" fillId="0" fontId="0" numFmtId="0" xfId="0" applyFont="1"/>
    <xf borderId="0" fillId="0" fontId="2" numFmtId="0" xfId="0" applyFont="1"/>
    <xf borderId="1" fillId="2" fontId="0" numFmtId="0" xfId="0" applyAlignment="1" applyBorder="1" applyFill="1" applyFont="1">
      <alignment horizontal="center"/>
    </xf>
    <xf borderId="2" fillId="0" fontId="3" numFmtId="0" xfId="0" applyBorder="1" applyFont="1"/>
    <xf borderId="1" fillId="3" fontId="0" numFmtId="0" xfId="0" applyAlignment="1" applyBorder="1" applyFill="1" applyFont="1">
      <alignment horizontal="center"/>
    </xf>
    <xf borderId="1" fillId="4" fontId="0" numFmtId="0" xfId="0" applyAlignment="1" applyBorder="1" applyFill="1" applyFont="1">
      <alignment horizontal="center"/>
    </xf>
    <xf borderId="3" fillId="0" fontId="3" numFmtId="0" xfId="0" applyBorder="1" applyFont="1"/>
    <xf borderId="1" fillId="5" fontId="0" numFmtId="0" xfId="0" applyAlignment="1" applyBorder="1" applyFill="1" applyFont="1">
      <alignment horizontal="center"/>
    </xf>
    <xf borderId="1" fillId="6" fontId="0" numFmtId="0" xfId="0" applyAlignment="1" applyBorder="1" applyFill="1" applyFont="1">
      <alignment horizontal="center"/>
    </xf>
    <xf borderId="1" fillId="7" fontId="0" numFmtId="0" xfId="0" applyAlignment="1" applyBorder="1" applyFill="1" applyFont="1">
      <alignment horizontal="center"/>
    </xf>
    <xf borderId="1" fillId="8" fontId="0" numFmtId="0" xfId="0" applyAlignment="1" applyBorder="1" applyFill="1" applyFont="1">
      <alignment horizontal="center"/>
    </xf>
    <xf borderId="1" fillId="0" fontId="0" numFmtId="0" xfId="0" applyAlignment="1" applyBorder="1" applyFont="1">
      <alignment horizontal="center"/>
    </xf>
    <xf borderId="4" fillId="0" fontId="3" numFmtId="0" xfId="0" applyBorder="1" applyFont="1"/>
    <xf borderId="5" fillId="2" fontId="0" numFmtId="14" xfId="0" applyAlignment="1" applyBorder="1" applyFont="1" applyNumberFormat="1">
      <alignment horizontal="center"/>
    </xf>
    <xf borderId="6" fillId="0" fontId="3" numFmtId="0" xfId="0" applyBorder="1" applyFont="1"/>
    <xf borderId="5" fillId="3" fontId="0" numFmtId="14" xfId="0" applyAlignment="1" applyBorder="1" applyFont="1" applyNumberFormat="1">
      <alignment horizontal="center"/>
    </xf>
    <xf borderId="5" fillId="4" fontId="0" numFmtId="14" xfId="0" applyAlignment="1" applyBorder="1" applyFont="1" applyNumberFormat="1">
      <alignment horizontal="center"/>
    </xf>
    <xf borderId="7" fillId="0" fontId="3" numFmtId="0" xfId="0" applyBorder="1" applyFont="1"/>
    <xf borderId="5" fillId="5" fontId="0" numFmtId="14" xfId="0" applyAlignment="1" applyBorder="1" applyFont="1" applyNumberFormat="1">
      <alignment horizontal="center"/>
    </xf>
    <xf borderId="5" fillId="6" fontId="0" numFmtId="14" xfId="0" applyAlignment="1" applyBorder="1" applyFont="1" applyNumberFormat="1">
      <alignment horizontal="center"/>
    </xf>
    <xf borderId="5" fillId="7" fontId="0" numFmtId="14" xfId="0" applyAlignment="1" applyBorder="1" applyFont="1" applyNumberFormat="1">
      <alignment horizontal="center"/>
    </xf>
    <xf borderId="5" fillId="8" fontId="0" numFmtId="14" xfId="0" applyAlignment="1" applyBorder="1" applyFont="1" applyNumberFormat="1">
      <alignment horizontal="center"/>
    </xf>
    <xf borderId="5" fillId="0" fontId="0" numFmtId="14" xfId="0" applyAlignment="1" applyBorder="1" applyFont="1" applyNumberFormat="1">
      <alignment horizontal="center"/>
    </xf>
    <xf borderId="8" fillId="0" fontId="3" numFmtId="0" xfId="0" applyBorder="1" applyFont="1"/>
    <xf borderId="5" fillId="4" fontId="0" numFmtId="0" xfId="0" applyAlignment="1" applyBorder="1" applyFont="1">
      <alignment horizontal="center"/>
    </xf>
    <xf borderId="5" fillId="3" fontId="0" numFmtId="0" xfId="0" applyAlignment="1" applyBorder="1" applyFont="1">
      <alignment horizontal="center"/>
    </xf>
    <xf borderId="5" fillId="2" fontId="0" numFmtId="0" xfId="0" applyAlignment="1" applyBorder="1" applyFont="1">
      <alignment horizontal="center"/>
    </xf>
    <xf borderId="9" fillId="5" fontId="0" numFmtId="0" xfId="0" applyAlignment="1" applyBorder="1" applyFont="1">
      <alignment horizontal="center"/>
    </xf>
    <xf borderId="10" fillId="0" fontId="3" numFmtId="0" xfId="0" applyBorder="1" applyFont="1"/>
    <xf borderId="9" fillId="6" fontId="0" numFmtId="0" xfId="0" applyAlignment="1" applyBorder="1" applyFont="1">
      <alignment horizontal="center"/>
    </xf>
    <xf borderId="9" fillId="7" fontId="0" numFmtId="0" xfId="0" applyAlignment="1" applyBorder="1" applyFont="1">
      <alignment horizontal="center"/>
    </xf>
    <xf borderId="9" fillId="8" fontId="0" numFmtId="0" xfId="0" applyAlignment="1" applyBorder="1" applyFont="1">
      <alignment horizontal="center"/>
    </xf>
    <xf borderId="11" fillId="0" fontId="3" numFmtId="0" xfId="0" applyBorder="1" applyFont="1"/>
    <xf borderId="9" fillId="0" fontId="0" numFmtId="0" xfId="0" applyAlignment="1" applyBorder="1" applyFont="1">
      <alignment horizontal="center"/>
    </xf>
    <xf borderId="12" fillId="0" fontId="3" numFmtId="0" xfId="0" applyBorder="1" applyFont="1"/>
    <xf borderId="13" fillId="0" fontId="0" numFmtId="14" xfId="0" applyAlignment="1" applyBorder="1" applyFont="1" applyNumberFormat="1">
      <alignment horizontal="center"/>
    </xf>
    <xf borderId="14" fillId="0" fontId="0" numFmtId="14" xfId="0" applyAlignment="1" applyBorder="1" applyFont="1" applyNumberFormat="1">
      <alignment horizontal="center"/>
    </xf>
    <xf borderId="13" fillId="0" fontId="0" numFmtId="0" xfId="0" applyBorder="1" applyFont="1"/>
    <xf borderId="14" fillId="0" fontId="0" numFmtId="0" xfId="0" applyBorder="1" applyFont="1"/>
    <xf borderId="15" fillId="7" fontId="0" numFmtId="0" xfId="0" applyBorder="1" applyFont="1"/>
    <xf borderId="16" fillId="2" fontId="0" numFmtId="0" xfId="0" applyAlignment="1" applyBorder="1" applyFont="1">
      <alignment horizontal="center"/>
    </xf>
    <xf borderId="17" fillId="9" fontId="0" numFmtId="0" xfId="0" applyAlignment="1" applyBorder="1" applyFill="1" applyFont="1">
      <alignment horizontal="center"/>
    </xf>
    <xf borderId="16" fillId="3" fontId="0" numFmtId="0" xfId="0" applyAlignment="1" applyBorder="1" applyFont="1">
      <alignment horizontal="center"/>
    </xf>
    <xf borderId="16" fillId="4" fontId="0" numFmtId="0" xfId="0" applyAlignment="1" applyBorder="1" applyFont="1">
      <alignment horizontal="center"/>
    </xf>
    <xf borderId="17" fillId="9" fontId="0" numFmtId="0" xfId="0" applyBorder="1" applyFont="1"/>
    <xf borderId="16" fillId="3" fontId="0" numFmtId="0" xfId="0" applyBorder="1" applyFont="1"/>
    <xf borderId="18" fillId="9" fontId="0" numFmtId="0" xfId="0" applyBorder="1" applyFont="1"/>
    <xf borderId="16" fillId="2" fontId="0" numFmtId="0" xfId="0" applyBorder="1" applyFont="1"/>
    <xf borderId="19" fillId="5" fontId="0" numFmtId="1" xfId="0" applyBorder="1" applyFont="1" applyNumberFormat="1"/>
    <xf borderId="20" fillId="9" fontId="0" numFmtId="0" xfId="0" applyBorder="1" applyFont="1"/>
    <xf borderId="19" fillId="6" fontId="0" numFmtId="0" xfId="0" applyBorder="1" applyFont="1"/>
    <xf borderId="19" fillId="7" fontId="0" numFmtId="0" xfId="0" applyBorder="1" applyFont="1"/>
    <xf borderId="20" fillId="7" fontId="0" numFmtId="0" xfId="0" applyBorder="1" applyFont="1"/>
    <xf borderId="19" fillId="8" fontId="0" numFmtId="164" xfId="0" applyBorder="1" applyFont="1" applyNumberFormat="1"/>
    <xf borderId="21" fillId="9" fontId="0" numFmtId="0" xfId="0" applyBorder="1" applyFont="1"/>
    <xf borderId="19" fillId="0" fontId="0" numFmtId="1" xfId="0" applyBorder="1" applyFont="1" applyNumberFormat="1"/>
    <xf borderId="22" fillId="0" fontId="0" numFmtId="0" xfId="0" applyBorder="1" applyFont="1"/>
    <xf borderId="16" fillId="5" fontId="0" numFmtId="1" xfId="0" applyBorder="1" applyFont="1" applyNumberFormat="1"/>
    <xf borderId="16" fillId="6" fontId="0" numFmtId="0" xfId="0" applyBorder="1" applyFont="1"/>
    <xf borderId="16" fillId="7" fontId="0" numFmtId="0" xfId="0" applyBorder="1" applyFont="1"/>
    <xf borderId="18" fillId="7" fontId="0" numFmtId="0" xfId="0" applyBorder="1" applyFont="1"/>
    <xf borderId="16" fillId="8" fontId="0" numFmtId="164" xfId="0" applyBorder="1" applyFont="1" applyNumberFormat="1"/>
    <xf borderId="16" fillId="0" fontId="0" numFmtId="1" xfId="0" applyBorder="1" applyFont="1" applyNumberFormat="1"/>
    <xf borderId="23" fillId="0" fontId="0" numFmtId="0" xfId="0" applyBorder="1" applyFont="1"/>
    <xf borderId="16" fillId="3" fontId="0" numFmtId="2" xfId="0" applyBorder="1" applyFont="1" applyNumberFormat="1"/>
    <xf borderId="17" fillId="9" fontId="0" numFmtId="165" xfId="0" applyBorder="1" applyFont="1" applyNumberFormat="1"/>
    <xf borderId="16" fillId="2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16" fillId="3" fontId="2" numFmtId="0" xfId="0" applyAlignment="1" applyBorder="1" applyFont="1">
      <alignment horizontal="center"/>
    </xf>
    <xf borderId="17" fillId="3" fontId="2" numFmtId="0" xfId="0" applyAlignment="1" applyBorder="1" applyFont="1">
      <alignment horizontal="center"/>
    </xf>
    <xf borderId="16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/>
    </xf>
    <xf borderId="18" fillId="2" fontId="2" numFmtId="0" xfId="0" applyAlignment="1" applyBorder="1" applyFont="1">
      <alignment horizontal="center"/>
    </xf>
    <xf borderId="16" fillId="5" fontId="2" numFmtId="2" xfId="0" applyAlignment="1" applyBorder="1" applyFont="1" applyNumberFormat="1">
      <alignment horizontal="center" vertical="center"/>
    </xf>
    <xf borderId="18" fillId="5" fontId="2" numFmtId="0" xfId="0" applyAlignment="1" applyBorder="1" applyFont="1">
      <alignment horizontal="center" vertical="center"/>
    </xf>
    <xf borderId="16" fillId="6" fontId="2" numFmtId="0" xfId="0" applyAlignment="1" applyBorder="1" applyFont="1">
      <alignment horizontal="center" vertical="center"/>
    </xf>
    <xf borderId="18" fillId="6" fontId="2" numFmtId="0" xfId="0" applyAlignment="1" applyBorder="1" applyFont="1">
      <alignment horizontal="center" vertical="center"/>
    </xf>
    <xf borderId="16" fillId="7" fontId="2" numFmtId="0" xfId="0" applyAlignment="1" applyBorder="1" applyFont="1">
      <alignment horizontal="center"/>
    </xf>
    <xf borderId="18" fillId="7" fontId="2" numFmtId="0" xfId="0" applyAlignment="1" applyBorder="1" applyFont="1">
      <alignment horizontal="center"/>
    </xf>
    <xf borderId="16" fillId="8" fontId="2" numFmtId="164" xfId="0" applyAlignment="1" applyBorder="1" applyFont="1" applyNumberFormat="1">
      <alignment horizontal="center" vertical="center"/>
    </xf>
    <xf borderId="17" fillId="8" fontId="2" numFmtId="165" xfId="0" applyAlignment="1" applyBorder="1" applyFont="1" applyNumberFormat="1">
      <alignment horizontal="center" vertical="center"/>
    </xf>
    <xf borderId="16" fillId="0" fontId="2" numFmtId="2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horizontal="center" vertical="center"/>
    </xf>
    <xf borderId="17" fillId="2" fontId="0" numFmtId="10" xfId="0" applyAlignment="1" applyBorder="1" applyFont="1" applyNumberFormat="1">
      <alignment horizontal="center"/>
    </xf>
    <xf borderId="17" fillId="3" fontId="0" numFmtId="10" xfId="0" applyAlignment="1" applyBorder="1" applyFont="1" applyNumberFormat="1">
      <alignment horizontal="center"/>
    </xf>
    <xf borderId="16" fillId="4" fontId="0" numFmtId="0" xfId="0" applyAlignment="1" applyBorder="1" applyFont="1">
      <alignment horizontal="center" vertical="center"/>
    </xf>
    <xf borderId="17" fillId="4" fontId="0" numFmtId="10" xfId="0" applyAlignment="1" applyBorder="1" applyFont="1" applyNumberFormat="1">
      <alignment horizontal="center" vertical="center"/>
    </xf>
    <xf borderId="17" fillId="3" fontId="0" numFmtId="10" xfId="0" applyBorder="1" applyFont="1" applyNumberFormat="1"/>
    <xf borderId="18" fillId="3" fontId="0" numFmtId="165" xfId="0" applyBorder="1" applyFont="1" applyNumberFormat="1"/>
    <xf borderId="16" fillId="2" fontId="0" numFmtId="0" xfId="0" applyAlignment="1" applyBorder="1" applyFont="1">
      <alignment horizontal="center" vertical="center"/>
    </xf>
    <xf borderId="18" fillId="2" fontId="0" numFmtId="165" xfId="0" applyAlignment="1" applyBorder="1" applyFont="1" applyNumberFormat="1">
      <alignment horizontal="center" vertical="center"/>
    </xf>
    <xf borderId="16" fillId="5" fontId="0" numFmtId="2" xfId="0" applyBorder="1" applyFont="1" applyNumberFormat="1"/>
    <xf borderId="18" fillId="5" fontId="0" numFmtId="10" xfId="0" applyBorder="1" applyFont="1" applyNumberFormat="1"/>
    <xf borderId="16" fillId="6" fontId="0" numFmtId="0" xfId="0" applyAlignment="1" applyBorder="1" applyFont="1">
      <alignment horizontal="center" vertical="center"/>
    </xf>
    <xf borderId="18" fillId="6" fontId="0" numFmtId="10" xfId="0" applyAlignment="1" applyBorder="1" applyFont="1" applyNumberFormat="1">
      <alignment horizontal="center" vertical="center"/>
    </xf>
    <xf borderId="16" fillId="7" fontId="0" numFmtId="0" xfId="0" applyAlignment="1" applyBorder="1" applyFont="1">
      <alignment horizontal="center" vertical="center"/>
    </xf>
    <xf borderId="18" fillId="7" fontId="0" numFmtId="10" xfId="0" applyAlignment="1" applyBorder="1" applyFont="1" applyNumberFormat="1">
      <alignment horizontal="center" vertical="center"/>
    </xf>
    <xf borderId="17" fillId="8" fontId="0" numFmtId="165" xfId="0" applyBorder="1" applyFont="1" applyNumberFormat="1"/>
    <xf borderId="16" fillId="0" fontId="0" numFmtId="2" xfId="0" applyBorder="1" applyFont="1" applyNumberFormat="1"/>
    <xf borderId="23" fillId="0" fontId="0" numFmtId="10" xfId="0" applyBorder="1" applyFont="1" applyNumberFormat="1"/>
    <xf borderId="16" fillId="3" fontId="0" numFmtId="2" xfId="0" applyAlignment="1" applyBorder="1" applyFont="1" applyNumberFormat="1">
      <alignment horizontal="center"/>
    </xf>
    <xf borderId="24" fillId="2" fontId="0" numFmtId="0" xfId="0" applyAlignment="1" applyBorder="1" applyFont="1">
      <alignment horizontal="center" vertical="center"/>
    </xf>
    <xf borderId="25" fillId="2" fontId="0" numFmtId="165" xfId="0" applyAlignment="1" applyBorder="1" applyFont="1" applyNumberFormat="1">
      <alignment horizontal="center" vertical="center"/>
    </xf>
    <xf borderId="26" fillId="2" fontId="0" numFmtId="0" xfId="0" applyAlignment="1" applyBorder="1" applyFont="1">
      <alignment horizontal="center" vertical="center"/>
    </xf>
    <xf borderId="27" fillId="2" fontId="0" numFmtId="165" xfId="0" applyAlignment="1" applyBorder="1" applyFont="1" applyNumberFormat="1">
      <alignment horizontal="center" vertical="center"/>
    </xf>
    <xf borderId="26" fillId="2" fontId="0" numFmtId="0" xfId="0" applyAlignment="1" applyBorder="1" applyFont="1">
      <alignment horizontal="center"/>
    </xf>
    <xf borderId="28" fillId="2" fontId="0" numFmtId="10" xfId="0" applyAlignment="1" applyBorder="1" applyFont="1" applyNumberFormat="1">
      <alignment horizontal="center"/>
    </xf>
    <xf borderId="26" fillId="3" fontId="0" numFmtId="2" xfId="0" applyAlignment="1" applyBorder="1" applyFont="1" applyNumberFormat="1">
      <alignment horizontal="center"/>
    </xf>
    <xf borderId="28" fillId="3" fontId="0" numFmtId="10" xfId="0" applyAlignment="1" applyBorder="1" applyFont="1" applyNumberFormat="1">
      <alignment horizontal="center"/>
    </xf>
    <xf borderId="26" fillId="4" fontId="0" numFmtId="0" xfId="0" applyAlignment="1" applyBorder="1" applyFont="1">
      <alignment horizontal="center" vertical="center"/>
    </xf>
    <xf borderId="28" fillId="4" fontId="0" numFmtId="10" xfId="0" applyAlignment="1" applyBorder="1" applyFont="1" applyNumberFormat="1">
      <alignment horizontal="center" vertical="center"/>
    </xf>
    <xf borderId="26" fillId="3" fontId="0" numFmtId="0" xfId="0" applyAlignment="1" applyBorder="1" applyFont="1">
      <alignment horizontal="center"/>
    </xf>
    <xf borderId="26" fillId="3" fontId="0" numFmtId="2" xfId="0" applyBorder="1" applyFont="1" applyNumberFormat="1"/>
    <xf borderId="28" fillId="3" fontId="0" numFmtId="10" xfId="0" applyBorder="1" applyFont="1" applyNumberFormat="1"/>
    <xf borderId="26" fillId="3" fontId="0" numFmtId="0" xfId="0" applyBorder="1" applyFont="1"/>
    <xf borderId="27" fillId="3" fontId="0" numFmtId="165" xfId="0" applyBorder="1" applyFont="1" applyNumberFormat="1"/>
    <xf borderId="29" fillId="2" fontId="0" numFmtId="0" xfId="0" applyAlignment="1" applyBorder="1" applyFont="1">
      <alignment horizontal="center" vertical="center"/>
    </xf>
    <xf borderId="30" fillId="2" fontId="0" numFmtId="165" xfId="0" applyAlignment="1" applyBorder="1" applyFont="1" applyNumberFormat="1">
      <alignment horizontal="center" vertical="center"/>
    </xf>
    <xf borderId="26" fillId="5" fontId="0" numFmtId="2" xfId="0" applyBorder="1" applyFont="1" applyNumberFormat="1"/>
    <xf borderId="27" fillId="5" fontId="0" numFmtId="10" xfId="0" applyBorder="1" applyFont="1" applyNumberFormat="1"/>
    <xf borderId="26" fillId="6" fontId="0" numFmtId="1" xfId="0" applyAlignment="1" applyBorder="1" applyFont="1" applyNumberFormat="1">
      <alignment horizontal="center" vertical="center"/>
    </xf>
    <xf borderId="27" fillId="6" fontId="0" numFmtId="10" xfId="0" applyAlignment="1" applyBorder="1" applyFont="1" applyNumberFormat="1">
      <alignment horizontal="center" vertical="center"/>
    </xf>
    <xf borderId="26" fillId="7" fontId="0" numFmtId="0" xfId="0" applyAlignment="1" applyBorder="1" applyFont="1">
      <alignment horizontal="center" vertical="center"/>
    </xf>
    <xf borderId="27" fillId="7" fontId="0" numFmtId="10" xfId="0" applyAlignment="1" applyBorder="1" applyFont="1" applyNumberFormat="1">
      <alignment horizontal="center" vertical="center"/>
    </xf>
    <xf borderId="26" fillId="8" fontId="0" numFmtId="164" xfId="0" applyBorder="1" applyFont="1" applyNumberFormat="1"/>
    <xf borderId="28" fillId="8" fontId="0" numFmtId="165" xfId="0" applyBorder="1" applyFont="1" applyNumberFormat="1"/>
    <xf borderId="26" fillId="0" fontId="0" numFmtId="2" xfId="0" applyBorder="1" applyFont="1" applyNumberFormat="1"/>
    <xf borderId="31" fillId="0" fontId="0" numFmtId="10" xfId="0" applyBorder="1" applyFont="1" applyNumberFormat="1"/>
    <xf borderId="0" fillId="0" fontId="0" numFmtId="10" xfId="0" applyFont="1" applyNumberFormat="1"/>
    <xf borderId="15" fillId="10" fontId="2" numFmtId="0" xfId="0" applyAlignment="1" applyBorder="1" applyFill="1" applyFont="1">
      <alignment horizontal="right"/>
    </xf>
    <xf borderId="32" fillId="10" fontId="2" numFmtId="10" xfId="0" applyAlignment="1" applyBorder="1" applyFont="1" applyNumberFormat="1">
      <alignment horizontal="center"/>
    </xf>
    <xf borderId="33" fillId="0" fontId="3" numFmtId="0" xfId="0" applyBorder="1" applyFont="1"/>
    <xf borderId="32" fillId="10" fontId="2" numFmtId="165" xfId="0" applyAlignment="1" applyBorder="1" applyFont="1" applyNumberFormat="1">
      <alignment horizontal="center"/>
    </xf>
    <xf borderId="32" fillId="11" fontId="2" numFmtId="165" xfId="0" applyAlignment="1" applyBorder="1" applyFill="1" applyFont="1" applyNumberFormat="1">
      <alignment horizontal="center"/>
    </xf>
    <xf borderId="32" fillId="11" fontId="2" numFmtId="10" xfId="0" applyAlignment="1" applyBorder="1" applyFont="1" applyNumberFormat="1">
      <alignment horizontal="center"/>
    </xf>
    <xf borderId="32" fillId="0" fontId="2" numFmtId="165" xfId="0" applyAlignment="1" applyBorder="1" applyFont="1" applyNumberFormat="1">
      <alignment horizontal="center"/>
    </xf>
    <xf borderId="15" fillId="8" fontId="2" numFmtId="0" xfId="0" applyAlignment="1" applyBorder="1" applyFont="1">
      <alignment horizontal="right"/>
    </xf>
    <xf borderId="32" fillId="8" fontId="2" numFmtId="10" xfId="0" applyAlignment="1" applyBorder="1" applyFont="1" applyNumberFormat="1">
      <alignment horizontal="center"/>
    </xf>
    <xf borderId="32" fillId="8" fontId="2" numFmtId="165" xfId="0" applyAlignment="1" applyBorder="1" applyFont="1" applyNumberFormat="1">
      <alignment horizontal="center"/>
    </xf>
    <xf borderId="0" fillId="0" fontId="0" numFmtId="165" xfId="0" applyFont="1" applyNumberFormat="1"/>
    <xf borderId="0" fillId="0" fontId="0" numFmtId="0" xfId="0" applyAlignment="1" applyFont="1">
      <alignment horizontal="right"/>
    </xf>
    <xf borderId="0" fillId="0" fontId="0" numFmtId="14" xfId="0" applyAlignment="1" applyFont="1" applyNumberFormat="1">
      <alignment horizontal="left"/>
    </xf>
    <xf borderId="34" fillId="0" fontId="4" numFmtId="0" xfId="0" applyBorder="1" applyFont="1"/>
    <xf borderId="23" fillId="0" fontId="5" numFmtId="0" xfId="0" applyBorder="1" applyFont="1"/>
    <xf borderId="35" fillId="0" fontId="0" numFmtId="0" xfId="0" applyBorder="1" applyFont="1"/>
    <xf borderId="36" fillId="0" fontId="0" numFmtId="0" xfId="0" applyBorder="1" applyFont="1"/>
    <xf borderId="37" fillId="12" fontId="6" numFmtId="0" xfId="0" applyAlignment="1" applyBorder="1" applyFill="1" applyFont="1">
      <alignment horizontal="right" vertical="center"/>
    </xf>
    <xf borderId="38" fillId="12" fontId="6" numFmtId="0" xfId="0" applyAlignment="1" applyBorder="1" applyFont="1">
      <alignment vertical="center"/>
    </xf>
    <xf borderId="38" fillId="12" fontId="6" numFmtId="0" xfId="0" applyAlignment="1" applyBorder="1" applyFont="1">
      <alignment horizontal="right" vertical="center"/>
    </xf>
    <xf borderId="37" fillId="12" fontId="7" numFmtId="0" xfId="0" applyBorder="1" applyFont="1"/>
    <xf borderId="15" fillId="12" fontId="0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3.71"/>
    <col customWidth="1" min="2" max="2" width="8.71"/>
    <col customWidth="1" min="3" max="3" width="11.14"/>
    <col customWidth="1" min="4" max="5" width="8.71"/>
    <col customWidth="1" min="6" max="6" width="9.71"/>
    <col customWidth="1" min="7" max="15" width="8.71"/>
    <col customWidth="1" min="16" max="16" width="9.14"/>
    <col customWidth="1" min="17" max="17" width="8.71"/>
    <col customWidth="1" min="18" max="18" width="10.14"/>
    <col customWidth="1" min="19" max="19" width="9.14"/>
    <col customWidth="1" min="20" max="20" width="9.57"/>
    <col customWidth="1" min="21" max="27" width="8.71"/>
  </cols>
  <sheetData>
    <row r="1">
      <c r="A1" s="1" t="s">
        <v>0</v>
      </c>
      <c r="P1" s="2"/>
      <c r="R1" s="3"/>
      <c r="S1" s="3"/>
    </row>
    <row r="2">
      <c r="A2" s="4" t="s">
        <v>1</v>
      </c>
      <c r="B2" s="5" t="s">
        <v>2</v>
      </c>
      <c r="C2" s="6"/>
      <c r="D2" s="7" t="s">
        <v>3</v>
      </c>
      <c r="E2" s="6"/>
      <c r="F2" s="8" t="s">
        <v>3</v>
      </c>
      <c r="G2" s="6"/>
      <c r="H2" s="7" t="s">
        <v>3</v>
      </c>
      <c r="I2" s="6"/>
      <c r="J2" s="7" t="s">
        <v>3</v>
      </c>
      <c r="K2" s="6"/>
      <c r="L2" s="7" t="s">
        <v>4</v>
      </c>
      <c r="M2" s="9"/>
      <c r="N2" s="5" t="s">
        <v>2</v>
      </c>
      <c r="O2" s="9"/>
      <c r="P2" s="10" t="s">
        <v>2</v>
      </c>
      <c r="Q2" s="9"/>
      <c r="R2" s="11" t="s">
        <v>2</v>
      </c>
      <c r="S2" s="9"/>
      <c r="T2" s="12" t="s">
        <v>2</v>
      </c>
      <c r="U2" s="9"/>
      <c r="V2" s="13" t="s">
        <v>2</v>
      </c>
      <c r="W2" s="6"/>
      <c r="X2" s="10" t="s">
        <v>2</v>
      </c>
      <c r="Y2" s="9"/>
      <c r="Z2" s="14" t="s">
        <v>2</v>
      </c>
      <c r="AA2" s="15"/>
    </row>
    <row r="3">
      <c r="A3" s="4" t="s">
        <v>5</v>
      </c>
      <c r="B3" s="16">
        <v>41985.0</v>
      </c>
      <c r="C3" s="17"/>
      <c r="D3" s="18">
        <v>42048.0</v>
      </c>
      <c r="E3" s="17"/>
      <c r="F3" s="19">
        <v>42052.0</v>
      </c>
      <c r="G3" s="17"/>
      <c r="H3" s="18">
        <v>42055.0</v>
      </c>
      <c r="I3" s="17"/>
      <c r="J3" s="18">
        <v>42066.0</v>
      </c>
      <c r="K3" s="17"/>
      <c r="L3" s="18">
        <v>42279.0</v>
      </c>
      <c r="M3" s="20"/>
      <c r="N3" s="16">
        <v>42300.0</v>
      </c>
      <c r="O3" s="20"/>
      <c r="P3" s="21">
        <v>42474.0</v>
      </c>
      <c r="Q3" s="20"/>
      <c r="R3" s="22">
        <v>42495.0</v>
      </c>
      <c r="S3" s="20"/>
      <c r="T3" s="23">
        <v>42535.0</v>
      </c>
      <c r="U3" s="20"/>
      <c r="V3" s="24">
        <v>42642.0</v>
      </c>
      <c r="W3" s="17"/>
      <c r="X3" s="21">
        <v>42805.0</v>
      </c>
      <c r="Y3" s="20"/>
      <c r="Z3" s="25">
        <v>42893.0</v>
      </c>
      <c r="AA3" s="26"/>
    </row>
    <row r="4">
      <c r="A4" s="4" t="s">
        <v>6</v>
      </c>
      <c r="B4" s="16" t="s">
        <v>7</v>
      </c>
      <c r="C4" s="17"/>
      <c r="D4" s="18" t="s">
        <v>8</v>
      </c>
      <c r="E4" s="17"/>
      <c r="F4" s="27" t="s">
        <v>9</v>
      </c>
      <c r="G4" s="17"/>
      <c r="H4" s="28" t="s">
        <v>10</v>
      </c>
      <c r="I4" s="17"/>
      <c r="J4" s="28" t="s">
        <v>11</v>
      </c>
      <c r="K4" s="17"/>
      <c r="L4" s="28" t="s">
        <v>12</v>
      </c>
      <c r="M4" s="20"/>
      <c r="N4" s="29" t="s">
        <v>7</v>
      </c>
      <c r="O4" s="20"/>
      <c r="P4" s="30" t="s">
        <v>7</v>
      </c>
      <c r="Q4" s="31"/>
      <c r="R4" s="32" t="s">
        <v>7</v>
      </c>
      <c r="S4" s="31"/>
      <c r="T4" s="33" t="s">
        <v>7</v>
      </c>
      <c r="U4" s="31"/>
      <c r="V4" s="34" t="s">
        <v>7</v>
      </c>
      <c r="W4" s="35"/>
      <c r="X4" s="30" t="s">
        <v>7</v>
      </c>
      <c r="Y4" s="31"/>
      <c r="Z4" s="36" t="s">
        <v>7</v>
      </c>
      <c r="AA4" s="37"/>
    </row>
    <row r="5" ht="4.5" customHeight="1">
      <c r="A5" s="4"/>
      <c r="B5" s="38"/>
      <c r="C5" s="39"/>
      <c r="D5" s="38"/>
      <c r="E5" s="39"/>
      <c r="F5" s="40"/>
      <c r="G5" s="41"/>
      <c r="H5" s="40"/>
      <c r="I5" s="41"/>
      <c r="J5" s="40"/>
      <c r="K5" s="41"/>
      <c r="L5" s="40"/>
      <c r="M5" s="3"/>
      <c r="N5" s="40"/>
      <c r="O5" s="41"/>
      <c r="P5" s="2"/>
      <c r="R5" s="3">
        <v>15020.0</v>
      </c>
      <c r="S5" s="3"/>
      <c r="T5" s="42"/>
      <c r="U5" s="42"/>
      <c r="X5" s="2"/>
      <c r="Y5" s="3"/>
      <c r="Z5" s="2"/>
      <c r="AA5" s="3"/>
    </row>
    <row r="6">
      <c r="A6" s="4" t="s">
        <v>13</v>
      </c>
      <c r="B6" s="43">
        <v>14180.0</v>
      </c>
      <c r="C6" s="44"/>
      <c r="D6" s="45"/>
      <c r="E6" s="44"/>
      <c r="F6" s="46"/>
      <c r="G6" s="47"/>
      <c r="H6" s="48"/>
      <c r="I6" s="47"/>
      <c r="J6" s="48"/>
      <c r="K6" s="47"/>
      <c r="L6" s="48"/>
      <c r="M6" s="49"/>
      <c r="N6" s="50">
        <v>14060.0</v>
      </c>
      <c r="O6" s="49"/>
      <c r="P6" s="51">
        <v>15120.0</v>
      </c>
      <c r="Q6" s="52"/>
      <c r="R6" s="53">
        <v>15020.0</v>
      </c>
      <c r="S6" s="52"/>
      <c r="T6" s="54">
        <v>14980.0</v>
      </c>
      <c r="U6" s="55"/>
      <c r="V6" s="56"/>
      <c r="W6" s="57"/>
      <c r="X6" s="51">
        <v>15600.0</v>
      </c>
      <c r="Y6" s="52"/>
      <c r="Z6" s="58">
        <v>30160.0</v>
      </c>
      <c r="AA6" s="59"/>
    </row>
    <row r="7">
      <c r="A7" s="4" t="s">
        <v>14</v>
      </c>
      <c r="B7" s="43">
        <v>13640.0</v>
      </c>
      <c r="C7" s="44"/>
      <c r="D7" s="45"/>
      <c r="E7" s="44"/>
      <c r="F7" s="46"/>
      <c r="G7" s="47"/>
      <c r="H7" s="48"/>
      <c r="I7" s="47"/>
      <c r="J7" s="48"/>
      <c r="K7" s="47"/>
      <c r="L7" s="48"/>
      <c r="M7" s="49"/>
      <c r="N7" s="50">
        <v>13620.0</v>
      </c>
      <c r="O7" s="49"/>
      <c r="P7" s="60">
        <v>14660.0</v>
      </c>
      <c r="Q7" s="49"/>
      <c r="R7" s="61">
        <v>14620.0</v>
      </c>
      <c r="S7" s="49"/>
      <c r="T7" s="62">
        <v>14560.0</v>
      </c>
      <c r="U7" s="63"/>
      <c r="V7" s="64"/>
      <c r="W7" s="47"/>
      <c r="X7" s="60">
        <v>13900.0</v>
      </c>
      <c r="Y7" s="49"/>
      <c r="Z7" s="65">
        <v>22240.0</v>
      </c>
      <c r="AA7" s="66"/>
    </row>
    <row r="8">
      <c r="A8" s="4" t="s">
        <v>15</v>
      </c>
      <c r="B8" s="43">
        <f>B6-B7</f>
        <v>540</v>
      </c>
      <c r="C8" s="44"/>
      <c r="D8" s="45">
        <v>70.54</v>
      </c>
      <c r="E8" s="44"/>
      <c r="F8" s="46">
        <v>33.86</v>
      </c>
      <c r="G8" s="47"/>
      <c r="H8" s="45">
        <v>27.18</v>
      </c>
      <c r="I8" s="44"/>
      <c r="J8" s="67">
        <v>34.5</v>
      </c>
      <c r="K8" s="47"/>
      <c r="L8" s="48">
        <f>L25</f>
        <v>41.83</v>
      </c>
      <c r="M8" s="49"/>
      <c r="N8" s="50">
        <f>N6-N7</f>
        <v>440</v>
      </c>
      <c r="O8" s="49"/>
      <c r="P8" s="60">
        <v>460.0</v>
      </c>
      <c r="Q8" s="49"/>
      <c r="R8" s="61">
        <v>400.0</v>
      </c>
      <c r="S8" s="49"/>
      <c r="T8" s="62">
        <v>420.0</v>
      </c>
      <c r="U8" s="63"/>
      <c r="V8" s="64">
        <v>1560.0</v>
      </c>
      <c r="W8" s="68"/>
      <c r="X8" s="60">
        <f>X6-X7</f>
        <v>1700</v>
      </c>
      <c r="Y8" s="49"/>
      <c r="Z8" s="65">
        <f>Z6-Z7</f>
        <v>7920</v>
      </c>
      <c r="AA8" s="66"/>
    </row>
    <row r="9">
      <c r="A9" s="4"/>
      <c r="B9" s="69" t="s">
        <v>16</v>
      </c>
      <c r="C9" s="70" t="s">
        <v>17</v>
      </c>
      <c r="D9" s="71" t="s">
        <v>16</v>
      </c>
      <c r="E9" s="72" t="s">
        <v>17</v>
      </c>
      <c r="F9" s="73" t="s">
        <v>16</v>
      </c>
      <c r="G9" s="74" t="s">
        <v>17</v>
      </c>
      <c r="H9" s="71" t="s">
        <v>16</v>
      </c>
      <c r="I9" s="72" t="s">
        <v>17</v>
      </c>
      <c r="J9" s="71" t="s">
        <v>16</v>
      </c>
      <c r="K9" s="72" t="s">
        <v>17</v>
      </c>
      <c r="L9" s="71" t="s">
        <v>16</v>
      </c>
      <c r="M9" s="75" t="s">
        <v>17</v>
      </c>
      <c r="N9" s="69" t="s">
        <v>16</v>
      </c>
      <c r="O9" s="76" t="s">
        <v>17</v>
      </c>
      <c r="P9" s="77" t="s">
        <v>16</v>
      </c>
      <c r="Q9" s="78" t="s">
        <v>17</v>
      </c>
      <c r="R9" s="79" t="s">
        <v>16</v>
      </c>
      <c r="S9" s="80" t="s">
        <v>17</v>
      </c>
      <c r="T9" s="81" t="s">
        <v>16</v>
      </c>
      <c r="U9" s="82" t="s">
        <v>17</v>
      </c>
      <c r="V9" s="83" t="s">
        <v>16</v>
      </c>
      <c r="W9" s="84" t="s">
        <v>17</v>
      </c>
      <c r="X9" s="77" t="s">
        <v>16</v>
      </c>
      <c r="Y9" s="78" t="s">
        <v>17</v>
      </c>
      <c r="Z9" s="85" t="s">
        <v>16</v>
      </c>
      <c r="AA9" s="86" t="s">
        <v>17</v>
      </c>
    </row>
    <row r="10">
      <c r="A10" s="4" t="s">
        <v>18</v>
      </c>
      <c r="B10" s="43">
        <v>0.0</v>
      </c>
      <c r="C10" s="87">
        <f>B10/B8</f>
        <v>0</v>
      </c>
      <c r="D10" s="45">
        <v>0.0</v>
      </c>
      <c r="E10" s="88">
        <f>D10/D8</f>
        <v>0</v>
      </c>
      <c r="F10" s="89">
        <v>0.2</v>
      </c>
      <c r="G10" s="90">
        <f>F10/F8</f>
        <v>0.005906674542</v>
      </c>
      <c r="H10" s="45">
        <v>0.12</v>
      </c>
      <c r="I10" s="88">
        <f>H10/H8</f>
        <v>0.004415011038</v>
      </c>
      <c r="J10" s="67">
        <v>0.44</v>
      </c>
      <c r="K10" s="91">
        <f>J10/J8</f>
        <v>0.01275362319</v>
      </c>
      <c r="L10" s="48">
        <v>0.0</v>
      </c>
      <c r="M10" s="92">
        <f>L10/L25</f>
        <v>0</v>
      </c>
      <c r="N10" s="93">
        <v>0.0</v>
      </c>
      <c r="O10" s="94">
        <f>N10/N25</f>
        <v>0</v>
      </c>
      <c r="P10" s="95">
        <v>3.0</v>
      </c>
      <c r="Q10" s="96">
        <v>0.0065</v>
      </c>
      <c r="R10" s="97">
        <v>0.8</v>
      </c>
      <c r="S10" s="98">
        <v>0.002</v>
      </c>
      <c r="T10" s="99">
        <v>0.02</v>
      </c>
      <c r="U10" s="100">
        <f>T10/T8</f>
        <v>0.00004761904762</v>
      </c>
      <c r="V10" s="64"/>
      <c r="W10" s="101"/>
      <c r="X10" s="95">
        <v>16.0</v>
      </c>
      <c r="Y10" s="96">
        <f>X10/X8</f>
        <v>0.009411764706</v>
      </c>
      <c r="Z10" s="102">
        <v>140.0</v>
      </c>
      <c r="AA10" s="103">
        <f>140/1980</f>
        <v>0.07070707071</v>
      </c>
    </row>
    <row r="11">
      <c r="A11" s="4" t="s">
        <v>19</v>
      </c>
      <c r="B11" s="43">
        <v>6.0</v>
      </c>
      <c r="C11" s="87">
        <f>B11/B8</f>
        <v>0.01111111111</v>
      </c>
      <c r="D11" s="45">
        <v>0.98</v>
      </c>
      <c r="E11" s="88">
        <f>D11/D8</f>
        <v>0.01389282676</v>
      </c>
      <c r="F11" s="89">
        <v>0.4</v>
      </c>
      <c r="G11" s="90">
        <f>F11/F8</f>
        <v>0.01181334908</v>
      </c>
      <c r="H11" s="45">
        <f>0.01+2.46</f>
        <v>2.47</v>
      </c>
      <c r="I11" s="88">
        <f>H11/H8</f>
        <v>0.09087564386</v>
      </c>
      <c r="J11" s="67">
        <v>0.48</v>
      </c>
      <c r="K11" s="91">
        <f>J11/J8</f>
        <v>0.01391304348</v>
      </c>
      <c r="L11" s="48">
        <v>0.2</v>
      </c>
      <c r="M11" s="92">
        <f>L11/L25</f>
        <v>0.004781257471</v>
      </c>
      <c r="N11" s="93">
        <v>6.0</v>
      </c>
      <c r="O11" s="94">
        <f>N11/N25</f>
        <v>0.01397624039</v>
      </c>
      <c r="P11" s="95">
        <v>5.2</v>
      </c>
      <c r="Q11" s="96">
        <v>0.0113</v>
      </c>
      <c r="R11" s="97">
        <v>2.1</v>
      </c>
      <c r="S11" s="98">
        <v>0.00525</v>
      </c>
      <c r="T11" s="99">
        <v>2.7</v>
      </c>
      <c r="U11" s="100">
        <f>T11/T8</f>
        <v>0.006428571429</v>
      </c>
      <c r="V11" s="64">
        <v>20.0</v>
      </c>
      <c r="W11" s="101">
        <f>V11/V8</f>
        <v>0.01282051282</v>
      </c>
      <c r="X11" s="95">
        <v>0.0</v>
      </c>
      <c r="Y11" s="96">
        <v>0.0</v>
      </c>
      <c r="Z11" s="102">
        <v>30.0</v>
      </c>
      <c r="AA11" s="103">
        <f>Z11/Z25</f>
        <v>0.01515151515</v>
      </c>
    </row>
    <row r="12">
      <c r="A12" s="4" t="s">
        <v>20</v>
      </c>
      <c r="B12" s="43">
        <v>27.3</v>
      </c>
      <c r="C12" s="87">
        <f>B12/B8</f>
        <v>0.05055555556</v>
      </c>
      <c r="D12" s="45">
        <v>0.0</v>
      </c>
      <c r="E12" s="88">
        <f>D12/D8</f>
        <v>0</v>
      </c>
      <c r="F12" s="89">
        <v>0.0</v>
      </c>
      <c r="G12" s="90">
        <f>F12/F8</f>
        <v>0</v>
      </c>
      <c r="H12" s="45">
        <v>0.0</v>
      </c>
      <c r="I12" s="88">
        <f>H12/H8</f>
        <v>0</v>
      </c>
      <c r="J12" s="67">
        <v>0.0</v>
      </c>
      <c r="K12" s="91">
        <f>J12/J8</f>
        <v>0</v>
      </c>
      <c r="L12" s="48">
        <v>1.02</v>
      </c>
      <c r="M12" s="92">
        <f>L12/L25</f>
        <v>0.0243844131</v>
      </c>
      <c r="N12" s="93">
        <v>7.3</v>
      </c>
      <c r="O12" s="94">
        <f>N12/N25</f>
        <v>0.01700442581</v>
      </c>
      <c r="P12" s="95">
        <v>12.5</v>
      </c>
      <c r="Q12" s="96">
        <v>0.0272</v>
      </c>
      <c r="R12" s="97">
        <v>2.6</v>
      </c>
      <c r="S12" s="98">
        <v>0.006500000000000001</v>
      </c>
      <c r="T12" s="99">
        <v>1.8</v>
      </c>
      <c r="U12" s="100">
        <f>T12/T8</f>
        <v>0.004285714286</v>
      </c>
      <c r="V12" s="64">
        <v>20.0</v>
      </c>
      <c r="W12" s="101">
        <f>V12/V8</f>
        <v>0.01282051282</v>
      </c>
      <c r="X12" s="95">
        <v>38.0</v>
      </c>
      <c r="Y12" s="96">
        <f>X12/X8</f>
        <v>0.02235294118</v>
      </c>
      <c r="Z12" s="102">
        <v>60.0</v>
      </c>
      <c r="AA12" s="103">
        <f>Z12/Z25</f>
        <v>0.0303030303</v>
      </c>
    </row>
    <row r="13">
      <c r="A13" s="4" t="s">
        <v>21</v>
      </c>
      <c r="B13" s="43">
        <v>55.3</v>
      </c>
      <c r="C13" s="87">
        <f>B13/B8</f>
        <v>0.1024074074</v>
      </c>
      <c r="D13" s="45">
        <f>5.56+1.2</f>
        <v>6.76</v>
      </c>
      <c r="E13" s="88">
        <f>D13/D8</f>
        <v>0.09583215197</v>
      </c>
      <c r="F13" s="89">
        <v>0.0</v>
      </c>
      <c r="G13" s="90">
        <f>F13/F8</f>
        <v>0</v>
      </c>
      <c r="H13" s="45">
        <f>2.6+0.56+0.66</f>
        <v>3.82</v>
      </c>
      <c r="I13" s="88">
        <f>H13/H8</f>
        <v>0.140544518</v>
      </c>
      <c r="J13" s="67">
        <v>1.5</v>
      </c>
      <c r="K13" s="91">
        <f>J13/J8</f>
        <v>0.04347826087</v>
      </c>
      <c r="L13" s="48">
        <v>2.0</v>
      </c>
      <c r="M13" s="92">
        <f>L13/L25</f>
        <v>0.04781257471</v>
      </c>
      <c r="N13" s="93">
        <v>25.1</v>
      </c>
      <c r="O13" s="94">
        <f>N13/N25</f>
        <v>0.0584672723</v>
      </c>
      <c r="P13" s="95">
        <v>25.3</v>
      </c>
      <c r="Q13" s="96">
        <v>0.055</v>
      </c>
      <c r="R13" s="97">
        <v>8.4</v>
      </c>
      <c r="S13" s="98">
        <v>0.021</v>
      </c>
      <c r="T13" s="99">
        <v>7.8</v>
      </c>
      <c r="U13" s="100">
        <f>T13/T8</f>
        <v>0.01857142857</v>
      </c>
      <c r="V13" s="64">
        <v>20.0</v>
      </c>
      <c r="W13" s="101">
        <f>V13/V8</f>
        <v>0.01282051282</v>
      </c>
      <c r="X13" s="95">
        <v>283.0</v>
      </c>
      <c r="Y13" s="96">
        <f>X13/X8</f>
        <v>0.1664705882</v>
      </c>
      <c r="Z13" s="102">
        <v>200.0</v>
      </c>
      <c r="AA13" s="103">
        <f>Z13/Z25</f>
        <v>0.101010101</v>
      </c>
    </row>
    <row r="14">
      <c r="A14" s="4" t="s">
        <v>22</v>
      </c>
      <c r="B14" s="43">
        <v>28.3</v>
      </c>
      <c r="C14" s="87">
        <f>B14/B8</f>
        <v>0.05240740741</v>
      </c>
      <c r="D14" s="45">
        <v>9.9</v>
      </c>
      <c r="E14" s="88">
        <f>D14/D8</f>
        <v>0.140345903</v>
      </c>
      <c r="F14" s="89">
        <v>1.86</v>
      </c>
      <c r="G14" s="90">
        <f>F14/F8</f>
        <v>0.05493207324</v>
      </c>
      <c r="H14" s="45">
        <f>0.88+0.12+0.24</f>
        <v>1.24</v>
      </c>
      <c r="I14" s="88">
        <f>H14/H8</f>
        <v>0.04562178072</v>
      </c>
      <c r="J14" s="67">
        <v>3.44</v>
      </c>
      <c r="K14" s="91">
        <f>J14/J8</f>
        <v>0.09971014493</v>
      </c>
      <c r="L14" s="48">
        <v>1.86</v>
      </c>
      <c r="M14" s="92">
        <f>L14/L25</f>
        <v>0.04446569448</v>
      </c>
      <c r="N14" s="93">
        <v>5.6</v>
      </c>
      <c r="O14" s="94">
        <f>N14/N25</f>
        <v>0.01304449103</v>
      </c>
      <c r="P14" s="95">
        <v>7.2</v>
      </c>
      <c r="Q14" s="96">
        <v>0.0157</v>
      </c>
      <c r="R14" s="97">
        <v>7.2</v>
      </c>
      <c r="S14" s="98">
        <v>0.018000000000000002</v>
      </c>
      <c r="T14" s="99">
        <v>8.4</v>
      </c>
      <c r="U14" s="100">
        <f>T14/T8</f>
        <v>0.02</v>
      </c>
      <c r="V14" s="64">
        <v>140.0</v>
      </c>
      <c r="W14" s="101">
        <f>V14/V8</f>
        <v>0.08974358974</v>
      </c>
      <c r="X14" s="95">
        <v>66.0</v>
      </c>
      <c r="Y14" s="96">
        <f>X14/X8</f>
        <v>0.03882352941</v>
      </c>
      <c r="Z14" s="102">
        <v>100.0</v>
      </c>
      <c r="AA14" s="103">
        <f>Z14/Z25</f>
        <v>0.05050505051</v>
      </c>
    </row>
    <row r="15">
      <c r="A15" s="4" t="s">
        <v>23</v>
      </c>
      <c r="B15" s="43">
        <v>7.7</v>
      </c>
      <c r="C15" s="87">
        <f>B15/B8</f>
        <v>0.01425925926</v>
      </c>
      <c r="D15" s="45">
        <v>0.48</v>
      </c>
      <c r="E15" s="88">
        <f>D15/D8</f>
        <v>0.006804649844</v>
      </c>
      <c r="F15" s="89">
        <v>0.0</v>
      </c>
      <c r="G15" s="90">
        <f>F15/F8</f>
        <v>0</v>
      </c>
      <c r="H15" s="45">
        <v>0.01</v>
      </c>
      <c r="I15" s="88">
        <f>H15/H8</f>
        <v>0.0003679175865</v>
      </c>
      <c r="J15" s="67">
        <v>0.0</v>
      </c>
      <c r="K15" s="91">
        <f>J15/J8</f>
        <v>0</v>
      </c>
      <c r="L15" s="48">
        <v>0.45</v>
      </c>
      <c r="M15" s="92">
        <f>L15/L25</f>
        <v>0.01075782931</v>
      </c>
      <c r="N15" s="93">
        <v>6.2</v>
      </c>
      <c r="O15" s="94">
        <f>N15/N25</f>
        <v>0.01444211507</v>
      </c>
      <c r="P15" s="95">
        <v>6.2</v>
      </c>
      <c r="Q15" s="96">
        <v>0.0135</v>
      </c>
      <c r="R15" s="97">
        <v>3.9</v>
      </c>
      <c r="S15" s="98">
        <v>0.00975</v>
      </c>
      <c r="T15" s="99">
        <v>3.5</v>
      </c>
      <c r="U15" s="100">
        <f>T15/T8</f>
        <v>0.008333333333</v>
      </c>
      <c r="V15" s="64">
        <v>20.0</v>
      </c>
      <c r="W15" s="101">
        <f>V15/V8</f>
        <v>0.01282051282</v>
      </c>
      <c r="X15" s="95">
        <v>13.0</v>
      </c>
      <c r="Y15" s="96">
        <f>X15/X8</f>
        <v>0.007647058824</v>
      </c>
      <c r="Z15" s="102">
        <v>5.0</v>
      </c>
      <c r="AA15" s="103">
        <f>Z15/Z25</f>
        <v>0.002525252525</v>
      </c>
    </row>
    <row r="16">
      <c r="A16" s="4" t="s">
        <v>24</v>
      </c>
      <c r="B16" s="43">
        <v>6.7</v>
      </c>
      <c r="C16" s="87">
        <f>B16/B8</f>
        <v>0.01240740741</v>
      </c>
      <c r="D16" s="45">
        <v>1.2</v>
      </c>
      <c r="E16" s="88">
        <f>D16/D8</f>
        <v>0.01701162461</v>
      </c>
      <c r="F16" s="89">
        <v>1.1</v>
      </c>
      <c r="G16" s="90">
        <f>F16/F8</f>
        <v>0.03248670998</v>
      </c>
      <c r="H16" s="45">
        <f>0.01+0.1</f>
        <v>0.11</v>
      </c>
      <c r="I16" s="88">
        <f>H16/H8</f>
        <v>0.004047093451</v>
      </c>
      <c r="J16" s="67">
        <v>0.88</v>
      </c>
      <c r="K16" s="91">
        <f>J16/J8</f>
        <v>0.02550724638</v>
      </c>
      <c r="L16" s="48">
        <v>0.5</v>
      </c>
      <c r="M16" s="92">
        <f>L16/L25</f>
        <v>0.01195314368</v>
      </c>
      <c r="N16" s="93">
        <v>5.9</v>
      </c>
      <c r="O16" s="94">
        <f>N16/N25</f>
        <v>0.01374330305</v>
      </c>
      <c r="P16" s="95">
        <v>7.2</v>
      </c>
      <c r="Q16" s="96">
        <v>0.0157</v>
      </c>
      <c r="R16" s="97">
        <v>7.2</v>
      </c>
      <c r="S16" s="98">
        <v>0.018000000000000002</v>
      </c>
      <c r="T16" s="99">
        <v>6.5</v>
      </c>
      <c r="U16" s="100">
        <f>T16/T8</f>
        <v>0.01547619048</v>
      </c>
      <c r="V16" s="64">
        <v>20.0</v>
      </c>
      <c r="W16" s="101">
        <f>V16/V8</f>
        <v>0.01282051282</v>
      </c>
      <c r="X16" s="95">
        <v>81.0</v>
      </c>
      <c r="Y16" s="96">
        <f>X16/X8</f>
        <v>0.04764705882</v>
      </c>
      <c r="Z16" s="102">
        <v>35.0</v>
      </c>
      <c r="AA16" s="103">
        <f>Z16/Z25</f>
        <v>0.01767676768</v>
      </c>
    </row>
    <row r="17">
      <c r="A17" s="4" t="s">
        <v>25</v>
      </c>
      <c r="B17" s="43">
        <v>3.2</v>
      </c>
      <c r="C17" s="87">
        <f>B17/B8</f>
        <v>0.005925925926</v>
      </c>
      <c r="D17" s="45">
        <v>0.58</v>
      </c>
      <c r="E17" s="88">
        <f>D17/D8</f>
        <v>0.008222285228</v>
      </c>
      <c r="F17" s="89">
        <v>0.62</v>
      </c>
      <c r="G17" s="90">
        <f>F17/F8</f>
        <v>0.01831069108</v>
      </c>
      <c r="H17" s="45">
        <f>1.42</f>
        <v>1.42</v>
      </c>
      <c r="I17" s="88">
        <f>H17/H8</f>
        <v>0.05224429728</v>
      </c>
      <c r="J17" s="67">
        <v>0.1</v>
      </c>
      <c r="K17" s="91">
        <f>J17/J8</f>
        <v>0.002898550725</v>
      </c>
      <c r="L17" s="48">
        <v>0.1</v>
      </c>
      <c r="M17" s="92">
        <f>L17/L25</f>
        <v>0.002390628735</v>
      </c>
      <c r="N17" s="93">
        <v>3.0</v>
      </c>
      <c r="O17" s="94">
        <f>N17/N25</f>
        <v>0.006988120196</v>
      </c>
      <c r="P17" s="95">
        <v>4.2</v>
      </c>
      <c r="Q17" s="96">
        <v>0.0091</v>
      </c>
      <c r="R17" s="97">
        <v>4.2</v>
      </c>
      <c r="S17" s="98">
        <v>0.0105</v>
      </c>
      <c r="T17" s="99">
        <v>3.9</v>
      </c>
      <c r="U17" s="100">
        <f>T17/T8</f>
        <v>0.009285714286</v>
      </c>
      <c r="V17" s="64"/>
      <c r="W17" s="101"/>
      <c r="X17" s="95">
        <v>22.0</v>
      </c>
      <c r="Y17" s="96">
        <f>X17/X8</f>
        <v>0.01294117647</v>
      </c>
      <c r="Z17" s="102">
        <v>31.0</v>
      </c>
      <c r="AA17" s="103">
        <f>Z17/Z25</f>
        <v>0.01565656566</v>
      </c>
    </row>
    <row r="18">
      <c r="A18" s="4" t="s">
        <v>26</v>
      </c>
      <c r="B18" s="43">
        <v>0.6</v>
      </c>
      <c r="C18" s="87">
        <f>B18/B8</f>
        <v>0.001111111111</v>
      </c>
      <c r="D18" s="45">
        <v>0.01</v>
      </c>
      <c r="E18" s="88">
        <f>D18/D8</f>
        <v>0.0001417635384</v>
      </c>
      <c r="F18" s="89">
        <v>0.0</v>
      </c>
      <c r="G18" s="90">
        <f>F18/F8</f>
        <v>0</v>
      </c>
      <c r="H18" s="45">
        <f>0.42+0.12</f>
        <v>0.54</v>
      </c>
      <c r="I18" s="88">
        <f>H18/H8</f>
        <v>0.01986754967</v>
      </c>
      <c r="J18" s="67">
        <v>0.0</v>
      </c>
      <c r="K18" s="91">
        <f>J18/J8</f>
        <v>0</v>
      </c>
      <c r="L18" s="48">
        <v>0.1</v>
      </c>
      <c r="M18" s="92">
        <f>L18/L25</f>
        <v>0.002390628735</v>
      </c>
      <c r="N18" s="93">
        <v>1.0</v>
      </c>
      <c r="O18" s="94">
        <f>N18/N25</f>
        <v>0.002329373399</v>
      </c>
      <c r="P18" s="95">
        <v>1.0</v>
      </c>
      <c r="Q18" s="96">
        <v>0.0022</v>
      </c>
      <c r="R18" s="97">
        <v>1.0</v>
      </c>
      <c r="S18" s="98">
        <v>0.0025</v>
      </c>
      <c r="T18" s="99">
        <v>0.06</v>
      </c>
      <c r="U18" s="100">
        <f>T18/T8</f>
        <v>0.0001428571429</v>
      </c>
      <c r="V18" s="64"/>
      <c r="W18" s="101"/>
      <c r="X18" s="95">
        <v>8.0</v>
      </c>
      <c r="Y18" s="96">
        <f>X18/X8</f>
        <v>0.004705882353</v>
      </c>
      <c r="Z18" s="102">
        <v>5.0</v>
      </c>
      <c r="AA18" s="103">
        <f>Z18/Z25</f>
        <v>0.002525252525</v>
      </c>
    </row>
    <row r="19">
      <c r="A19" s="4" t="s">
        <v>27</v>
      </c>
      <c r="B19" s="43">
        <v>19.9</v>
      </c>
      <c r="C19" s="87">
        <f>B19/B8</f>
        <v>0.03685185185</v>
      </c>
      <c r="D19" s="45">
        <v>5.02</v>
      </c>
      <c r="E19" s="88">
        <f>D19/D8</f>
        <v>0.07116529629</v>
      </c>
      <c r="F19" s="89">
        <v>2.86</v>
      </c>
      <c r="G19" s="90">
        <f>F19/F8</f>
        <v>0.08446544595</v>
      </c>
      <c r="H19" s="45">
        <f>1.74+2.06+0.32</f>
        <v>4.12</v>
      </c>
      <c r="I19" s="88">
        <f>H19/H8</f>
        <v>0.1515820456</v>
      </c>
      <c r="J19" s="67">
        <v>2.08</v>
      </c>
      <c r="K19" s="91">
        <f>J19/J8</f>
        <v>0.06028985507</v>
      </c>
      <c r="L19" s="48">
        <v>2.5</v>
      </c>
      <c r="M19" s="92">
        <f>L19/L25</f>
        <v>0.05976571838</v>
      </c>
      <c r="N19" s="93">
        <v>18.5</v>
      </c>
      <c r="O19" s="94">
        <f>N19/N25</f>
        <v>0.04309340787</v>
      </c>
      <c r="P19" s="95">
        <v>18.9</v>
      </c>
      <c r="Q19" s="96">
        <v>0.0411</v>
      </c>
      <c r="R19" s="97">
        <v>8.6</v>
      </c>
      <c r="S19" s="98">
        <v>0.0215</v>
      </c>
      <c r="T19" s="99">
        <v>8.5</v>
      </c>
      <c r="U19" s="100">
        <f>T19/T8</f>
        <v>0.02023809524</v>
      </c>
      <c r="V19" s="64">
        <v>60.0</v>
      </c>
      <c r="W19" s="101">
        <f>V19/V8</f>
        <v>0.03846153846</v>
      </c>
      <c r="X19" s="95">
        <v>62.0</v>
      </c>
      <c r="Y19" s="96">
        <f>X19/X8</f>
        <v>0.03647058824</v>
      </c>
      <c r="Z19" s="102">
        <v>65.0</v>
      </c>
      <c r="AA19" s="103">
        <f>Z19/Z25</f>
        <v>0.03282828283</v>
      </c>
    </row>
    <row r="20">
      <c r="A20" s="4" t="s">
        <v>28</v>
      </c>
      <c r="B20" s="43">
        <v>0.4</v>
      </c>
      <c r="C20" s="87">
        <f>B20/B8</f>
        <v>0.0007407407407</v>
      </c>
      <c r="D20" s="45">
        <v>0.32</v>
      </c>
      <c r="E20" s="88">
        <f>D20/D8</f>
        <v>0.004536433229</v>
      </c>
      <c r="F20" s="89">
        <v>0.0</v>
      </c>
      <c r="G20" s="90">
        <f>F20/F8</f>
        <v>0</v>
      </c>
      <c r="H20" s="45">
        <v>0.01</v>
      </c>
      <c r="I20" s="88">
        <f>H20/H8</f>
        <v>0.0003679175865</v>
      </c>
      <c r="J20" s="67">
        <v>0.0</v>
      </c>
      <c r="K20" s="91">
        <f>J20/J8</f>
        <v>0</v>
      </c>
      <c r="L20" s="48">
        <v>0.0</v>
      </c>
      <c r="M20" s="92">
        <f>L20/L25</f>
        <v>0</v>
      </c>
      <c r="N20" s="93">
        <v>0.1</v>
      </c>
      <c r="O20" s="94">
        <f>N20/N25</f>
        <v>0.0002329373399</v>
      </c>
      <c r="P20" s="95">
        <v>0.1</v>
      </c>
      <c r="Q20" s="96">
        <v>2.0E-4</v>
      </c>
      <c r="R20" s="97">
        <v>0.0</v>
      </c>
      <c r="S20" s="98">
        <v>0.0</v>
      </c>
      <c r="T20" s="99">
        <v>0.0</v>
      </c>
      <c r="U20" s="100">
        <f>T20/T8</f>
        <v>0</v>
      </c>
      <c r="V20" s="64"/>
      <c r="W20" s="101"/>
      <c r="X20" s="95">
        <v>0.0</v>
      </c>
      <c r="Y20" s="96">
        <v>0.0</v>
      </c>
      <c r="Z20" s="102">
        <v>20.0</v>
      </c>
      <c r="AA20" s="103">
        <f>Z20/Z25</f>
        <v>0.0101010101</v>
      </c>
    </row>
    <row r="21" ht="15.75" customHeight="1">
      <c r="A21" s="4" t="s">
        <v>29</v>
      </c>
      <c r="B21" s="43">
        <v>1.2</v>
      </c>
      <c r="C21" s="87">
        <f>B21/B8</f>
        <v>0.002222222222</v>
      </c>
      <c r="D21" s="45">
        <v>0.01</v>
      </c>
      <c r="E21" s="88">
        <f>D21/D8</f>
        <v>0.0001417635384</v>
      </c>
      <c r="F21" s="89">
        <v>0.38</v>
      </c>
      <c r="G21" s="90">
        <f>F21/F8</f>
        <v>0.01122268163</v>
      </c>
      <c r="H21" s="45">
        <f>0.36+0.14</f>
        <v>0.5</v>
      </c>
      <c r="I21" s="88">
        <f>H21/H8</f>
        <v>0.01839587932</v>
      </c>
      <c r="J21" s="67">
        <v>0.14</v>
      </c>
      <c r="K21" s="91">
        <f>J21/J8</f>
        <v>0.004057971014</v>
      </c>
      <c r="L21" s="48">
        <v>0.1</v>
      </c>
      <c r="M21" s="92">
        <f>L21/L25</f>
        <v>0.002390628735</v>
      </c>
      <c r="N21" s="93">
        <v>1.1</v>
      </c>
      <c r="O21" s="94">
        <f>N21/N25</f>
        <v>0.002562310738</v>
      </c>
      <c r="P21" s="95">
        <v>3.2</v>
      </c>
      <c r="Q21" s="96">
        <v>0.007</v>
      </c>
      <c r="R21" s="97">
        <v>2.6</v>
      </c>
      <c r="S21" s="98">
        <v>0.006500000000000001</v>
      </c>
      <c r="T21" s="99">
        <v>2.2</v>
      </c>
      <c r="U21" s="100">
        <f>T21/T8</f>
        <v>0.005238095238</v>
      </c>
      <c r="V21" s="64"/>
      <c r="W21" s="101"/>
      <c r="X21" s="95">
        <v>19.0</v>
      </c>
      <c r="Y21" s="96">
        <f>X21/X8</f>
        <v>0.01117647059</v>
      </c>
      <c r="Z21" s="102">
        <v>15.0</v>
      </c>
      <c r="AA21" s="103">
        <f>Z21/Z25</f>
        <v>0.007575757576</v>
      </c>
    </row>
    <row r="22" ht="15.75" customHeight="1">
      <c r="A22" s="4" t="s">
        <v>30</v>
      </c>
      <c r="B22" s="43">
        <v>13.7</v>
      </c>
      <c r="C22" s="87">
        <f>B22/B8</f>
        <v>0.02537037037</v>
      </c>
      <c r="D22" s="104">
        <v>0.48</v>
      </c>
      <c r="E22" s="88">
        <f>D22/D8</f>
        <v>0.006804649844</v>
      </c>
      <c r="F22" s="89">
        <v>0.92</v>
      </c>
      <c r="G22" s="90">
        <f>F22/F8</f>
        <v>0.02717070289</v>
      </c>
      <c r="H22" s="45">
        <f>2.42+0.34</f>
        <v>2.76</v>
      </c>
      <c r="I22" s="88">
        <f>H22/H8</f>
        <v>0.1015452539</v>
      </c>
      <c r="J22" s="67">
        <v>0.3</v>
      </c>
      <c r="K22" s="91">
        <f>J22/J8</f>
        <v>0.008695652174</v>
      </c>
      <c r="L22" s="48">
        <v>2.0</v>
      </c>
      <c r="M22" s="92">
        <f>L22/L25</f>
        <v>0.04781257471</v>
      </c>
      <c r="N22" s="93">
        <v>9.5</v>
      </c>
      <c r="O22" s="94">
        <f>N22/N25</f>
        <v>0.02212904729</v>
      </c>
      <c r="P22" s="95">
        <v>13.5</v>
      </c>
      <c r="Q22" s="96">
        <v>0.0293</v>
      </c>
      <c r="R22" s="97">
        <v>6.3</v>
      </c>
      <c r="S22" s="98">
        <v>0.01575</v>
      </c>
      <c r="T22" s="99">
        <v>6.7</v>
      </c>
      <c r="U22" s="100">
        <f>T22/T8</f>
        <v>0.01595238095</v>
      </c>
      <c r="V22" s="64"/>
      <c r="W22" s="101"/>
      <c r="X22" s="95">
        <v>22.0</v>
      </c>
      <c r="Y22" s="96">
        <f>X22/X8</f>
        <v>0.01294117647</v>
      </c>
      <c r="Z22" s="102">
        <v>10.0</v>
      </c>
      <c r="AA22" s="103">
        <f>Z22/Z25</f>
        <v>0.005050505051</v>
      </c>
    </row>
    <row r="23" ht="15.75" customHeight="1">
      <c r="A23" s="4" t="s">
        <v>31</v>
      </c>
      <c r="B23" s="43"/>
      <c r="C23" s="87"/>
      <c r="D23" s="104"/>
      <c r="E23" s="88"/>
      <c r="F23" s="89"/>
      <c r="G23" s="90"/>
      <c r="H23" s="45"/>
      <c r="I23" s="88"/>
      <c r="J23" s="67"/>
      <c r="K23" s="91"/>
      <c r="L23" s="48"/>
      <c r="M23" s="92"/>
      <c r="N23" s="105"/>
      <c r="O23" s="106"/>
      <c r="P23" s="95"/>
      <c r="Q23" s="96"/>
      <c r="R23" s="97"/>
      <c r="S23" s="98"/>
      <c r="T23" s="99"/>
      <c r="U23" s="100"/>
      <c r="V23" s="64"/>
      <c r="W23" s="101"/>
      <c r="X23" s="95">
        <v>10.0</v>
      </c>
      <c r="Y23" s="96">
        <f>X23/X8</f>
        <v>0.005882352941</v>
      </c>
      <c r="Z23" s="102">
        <v>4.0</v>
      </c>
      <c r="AA23" s="103">
        <f>Z23/Z25</f>
        <v>0.00202020202</v>
      </c>
    </row>
    <row r="24" ht="15.75" customHeight="1">
      <c r="A24" s="4" t="s">
        <v>32</v>
      </c>
      <c r="B24" s="43">
        <v>360.0</v>
      </c>
      <c r="C24" s="87">
        <f>B24/B8</f>
        <v>0.6666666667</v>
      </c>
      <c r="D24" s="104">
        <f>40.8+4</f>
        <v>44.8</v>
      </c>
      <c r="E24" s="88">
        <f>D24/D8</f>
        <v>0.6351006521</v>
      </c>
      <c r="F24" s="89">
        <v>25.52</v>
      </c>
      <c r="G24" s="90">
        <f>F24/F8</f>
        <v>0.7536916716</v>
      </c>
      <c r="H24" s="45">
        <f>3.16+2+3.7+1.2</f>
        <v>10.06</v>
      </c>
      <c r="I24" s="88">
        <f>H24/H8</f>
        <v>0.370125092</v>
      </c>
      <c r="J24" s="67">
        <v>25.14</v>
      </c>
      <c r="K24" s="91">
        <f>J24/J8</f>
        <v>0.7286956522</v>
      </c>
      <c r="L24" s="48">
        <f>6.96+24.04</f>
        <v>31</v>
      </c>
      <c r="M24" s="92">
        <f>L24/L25</f>
        <v>0.741094908</v>
      </c>
      <c r="N24" s="107">
        <v>340.0</v>
      </c>
      <c r="O24" s="108">
        <f>N24/N25</f>
        <v>0.7919869555</v>
      </c>
      <c r="P24" s="95">
        <v>340.0</v>
      </c>
      <c r="Q24" s="96">
        <v>0.7391</v>
      </c>
      <c r="R24" s="97">
        <v>340.0</v>
      </c>
      <c r="S24" s="98">
        <v>0.85</v>
      </c>
      <c r="T24" s="99">
        <v>360.0</v>
      </c>
      <c r="U24" s="100">
        <f>T24/T8</f>
        <v>0.8571428571</v>
      </c>
      <c r="V24" s="64"/>
      <c r="W24" s="101"/>
      <c r="X24" s="95">
        <f>X8-640</f>
        <v>1060</v>
      </c>
      <c r="Y24" s="96">
        <f>X24/X8</f>
        <v>0.6235294118</v>
      </c>
      <c r="Z24" s="102">
        <v>1260.0</v>
      </c>
      <c r="AA24" s="103">
        <f>Z24/Z25</f>
        <v>0.6363636364</v>
      </c>
    </row>
    <row r="25" ht="15.75" customHeight="1">
      <c r="A25" s="4" t="s">
        <v>33</v>
      </c>
      <c r="B25" s="109">
        <f>SUM(B10:B24)</f>
        <v>530.3</v>
      </c>
      <c r="C25" s="110">
        <f>B25/B8</f>
        <v>0.982037037</v>
      </c>
      <c r="D25" s="111">
        <f t="shared" ref="D25:O25" si="1">SUM(D10:D24)</f>
        <v>70.54</v>
      </c>
      <c r="E25" s="112">
        <f t="shared" si="1"/>
        <v>1</v>
      </c>
      <c r="F25" s="113">
        <f t="shared" si="1"/>
        <v>33.86</v>
      </c>
      <c r="G25" s="114">
        <f t="shared" si="1"/>
        <v>1</v>
      </c>
      <c r="H25" s="115">
        <f t="shared" si="1"/>
        <v>27.18</v>
      </c>
      <c r="I25" s="112">
        <f t="shared" si="1"/>
        <v>1</v>
      </c>
      <c r="J25" s="116">
        <f t="shared" si="1"/>
        <v>34.5</v>
      </c>
      <c r="K25" s="117">
        <f t="shared" si="1"/>
        <v>1</v>
      </c>
      <c r="L25" s="118">
        <f t="shared" si="1"/>
        <v>41.83</v>
      </c>
      <c r="M25" s="119">
        <f t="shared" si="1"/>
        <v>1</v>
      </c>
      <c r="N25" s="120">
        <f t="shared" si="1"/>
        <v>429.3</v>
      </c>
      <c r="O25" s="121">
        <f t="shared" si="1"/>
        <v>1</v>
      </c>
      <c r="P25" s="122">
        <v>447.5</v>
      </c>
      <c r="Q25" s="123">
        <v>0.9728</v>
      </c>
      <c r="R25" s="124">
        <f t="shared" ref="R25:T25" si="2">SUM(R10:R24)</f>
        <v>394.9</v>
      </c>
      <c r="S25" s="125">
        <f t="shared" si="2"/>
        <v>0.98725</v>
      </c>
      <c r="T25" s="126">
        <f t="shared" si="2"/>
        <v>412.08</v>
      </c>
      <c r="U25" s="127">
        <f>T25/T8</f>
        <v>0.9811428571</v>
      </c>
      <c r="V25" s="128">
        <f>1560-300</f>
        <v>1260</v>
      </c>
      <c r="W25" s="129">
        <f>V25/V8</f>
        <v>0.8076923077</v>
      </c>
      <c r="X25" s="122">
        <f t="shared" ref="X25:Z25" si="3">SUM(X10:X24)</f>
        <v>1700</v>
      </c>
      <c r="Y25" s="123">
        <f t="shared" si="3"/>
        <v>1</v>
      </c>
      <c r="Z25" s="130">
        <f t="shared" si="3"/>
        <v>1980</v>
      </c>
      <c r="AA25" s="131"/>
    </row>
    <row r="26" ht="15.75" customHeight="1">
      <c r="P26" s="2"/>
      <c r="R26" s="3"/>
      <c r="S26" s="3"/>
      <c r="T26" s="3"/>
      <c r="U26" s="3"/>
      <c r="V26" s="132"/>
      <c r="W26" s="3"/>
      <c r="X26" s="2"/>
      <c r="Y26" s="3"/>
      <c r="Z26" s="2"/>
      <c r="AA26" s="3"/>
    </row>
    <row r="27" ht="15.75" customHeight="1">
      <c r="A27" s="133" t="s">
        <v>34</v>
      </c>
      <c r="B27" s="134">
        <f>C24</f>
        <v>0.6666666667</v>
      </c>
      <c r="C27" s="135"/>
      <c r="D27" s="134">
        <f>E24</f>
        <v>0.6351006521</v>
      </c>
      <c r="E27" s="135"/>
      <c r="F27" s="134">
        <f>G24</f>
        <v>0.7536916716</v>
      </c>
      <c r="G27" s="135"/>
      <c r="H27" s="134">
        <f>I24</f>
        <v>0.370125092</v>
      </c>
      <c r="I27" s="135"/>
      <c r="J27" s="134">
        <f>K24</f>
        <v>0.7286956522</v>
      </c>
      <c r="K27" s="135"/>
      <c r="L27" s="136">
        <f>M24</f>
        <v>0.741094908</v>
      </c>
      <c r="M27" s="135"/>
      <c r="N27" s="136">
        <f>O24</f>
        <v>0.7919869555</v>
      </c>
      <c r="O27" s="135"/>
      <c r="P27" s="137">
        <f>Q24</f>
        <v>0.7391</v>
      </c>
      <c r="Q27" s="135"/>
      <c r="R27" s="137">
        <v>0.85</v>
      </c>
      <c r="S27" s="135"/>
      <c r="T27" s="138">
        <f>U24</f>
        <v>0.8571428571</v>
      </c>
      <c r="U27" s="135"/>
      <c r="V27" s="136">
        <f>V25/1560</f>
        <v>0.8076923077</v>
      </c>
      <c r="W27" s="135"/>
      <c r="X27" s="137">
        <f>Y24</f>
        <v>0.6235294118</v>
      </c>
      <c r="Y27" s="135"/>
      <c r="Z27" s="139">
        <f>Z24/Z25</f>
        <v>0.6363636364</v>
      </c>
      <c r="AA27" s="135"/>
    </row>
    <row r="28" ht="15.75" customHeight="1">
      <c r="A28" s="140" t="s">
        <v>35</v>
      </c>
      <c r="B28" s="141">
        <f>C25-C24</f>
        <v>0.3153703704</v>
      </c>
      <c r="C28" s="135"/>
      <c r="D28" s="141">
        <f>E25-E24</f>
        <v>0.3648993479</v>
      </c>
      <c r="E28" s="135"/>
      <c r="F28" s="141">
        <f>G25-G24</f>
        <v>0.2463083284</v>
      </c>
      <c r="G28" s="135"/>
      <c r="H28" s="141">
        <f>I25-I24</f>
        <v>0.629874908</v>
      </c>
      <c r="I28" s="135"/>
      <c r="J28" s="141">
        <f>K25-J27</f>
        <v>0.2713043478</v>
      </c>
      <c r="K28" s="135"/>
      <c r="L28" s="142">
        <f>M25-M24</f>
        <v>0.258905092</v>
      </c>
      <c r="M28" s="135"/>
      <c r="N28" s="142">
        <f>O25-O24</f>
        <v>0.2080130445</v>
      </c>
      <c r="O28" s="135"/>
      <c r="P28" s="142">
        <f>1-P27</f>
        <v>0.2609</v>
      </c>
      <c r="Q28" s="135"/>
      <c r="R28" s="142">
        <f>1-R27</f>
        <v>0.15</v>
      </c>
      <c r="S28" s="135"/>
      <c r="T28" s="141">
        <f>1-U24</f>
        <v>0.1428571429</v>
      </c>
      <c r="U28" s="135"/>
      <c r="V28" s="142">
        <f>300/1560</f>
        <v>0.1923076923</v>
      </c>
      <c r="W28" s="135"/>
      <c r="X28" s="142">
        <f>1-X27</f>
        <v>0.3764705882</v>
      </c>
      <c r="Y28" s="135"/>
      <c r="Z28" s="139">
        <f>1-Z27</f>
        <v>0.3636363636</v>
      </c>
      <c r="AA28" s="135"/>
    </row>
    <row r="29" ht="15.75" customHeight="1">
      <c r="P29" s="2"/>
      <c r="R29" s="3"/>
      <c r="S29" s="3"/>
      <c r="Z29" s="143">
        <f>SUM(N28:Y28)</f>
        <v>1.330548468</v>
      </c>
      <c r="AA29" s="143">
        <f>SUM(N27:Y27)</f>
        <v>4.669451532</v>
      </c>
    </row>
    <row r="30" ht="15.75" customHeight="1">
      <c r="P30" s="2"/>
      <c r="R30" s="3"/>
      <c r="S30" s="3"/>
      <c r="T30" s="132"/>
      <c r="Z30" s="1">
        <f t="shared" ref="Z30:AA30" si="4">Z29/6</f>
        <v>0.221758078</v>
      </c>
      <c r="AA30" s="1">
        <f t="shared" si="4"/>
        <v>0.778241922</v>
      </c>
    </row>
    <row r="31" ht="15.75" customHeight="1">
      <c r="P31" s="2"/>
      <c r="R31" s="3" t="s">
        <v>36</v>
      </c>
      <c r="S31" s="3" t="s">
        <v>37</v>
      </c>
      <c r="T31" s="1" t="s">
        <v>24</v>
      </c>
      <c r="U31" s="1" t="s">
        <v>38</v>
      </c>
      <c r="X31" s="2">
        <f>SUM(X10:X23)</f>
        <v>640</v>
      </c>
    </row>
    <row r="32" ht="15.75" customHeight="1">
      <c r="O32" s="143">
        <f>SUM(N28:W28)</f>
        <v>0.9540778797</v>
      </c>
      <c r="P32" s="2"/>
      <c r="R32" s="2">
        <f>N13+P13+R13+T13+V13</f>
        <v>86.6</v>
      </c>
      <c r="S32" s="2">
        <f>N12+P12+R12+T12+V12</f>
        <v>44.2</v>
      </c>
      <c r="T32" s="2">
        <f>N16+P16+R16+T16+V16</f>
        <v>46.8</v>
      </c>
      <c r="U32" s="2">
        <f>N10+P10+R10+T10</f>
        <v>3.82</v>
      </c>
    </row>
    <row r="33" ht="15.75" customHeight="1">
      <c r="O33" s="1">
        <f>O32/5</f>
        <v>0.1908155759</v>
      </c>
      <c r="P33" s="2"/>
      <c r="R33" s="3">
        <f t="shared" ref="R33:U33" si="5">R32/5</f>
        <v>17.32</v>
      </c>
      <c r="S33" s="3">
        <f t="shared" si="5"/>
        <v>8.84</v>
      </c>
      <c r="T33" s="1">
        <f t="shared" si="5"/>
        <v>9.36</v>
      </c>
      <c r="U33" s="1">
        <f t="shared" si="5"/>
        <v>0.764</v>
      </c>
    </row>
    <row r="34" ht="15.75" customHeight="1">
      <c r="O34" s="1">
        <f>O33*2</f>
        <v>0.3816311519</v>
      </c>
      <c r="P34" s="2"/>
      <c r="R34" s="3">
        <f>283/17</f>
        <v>16.64705882</v>
      </c>
      <c r="S34" s="3"/>
    </row>
    <row r="35" ht="15.75" customHeight="1">
      <c r="P35" s="2"/>
      <c r="R35" s="3"/>
      <c r="S35" s="3"/>
    </row>
    <row r="36" ht="15.75" customHeight="1">
      <c r="P36" s="2"/>
      <c r="R36" s="3"/>
      <c r="S36" s="3"/>
    </row>
    <row r="37" ht="15.75" customHeight="1">
      <c r="P37" s="2"/>
      <c r="R37" s="3"/>
      <c r="S37" s="3"/>
    </row>
    <row r="38" ht="15.75" customHeight="1">
      <c r="P38" s="2"/>
      <c r="R38" s="3"/>
      <c r="S38" s="3"/>
    </row>
    <row r="39" ht="15.75" customHeight="1">
      <c r="P39" s="2"/>
      <c r="R39" s="3"/>
      <c r="S39" s="3"/>
    </row>
    <row r="40" ht="15.75" customHeight="1">
      <c r="P40" s="2"/>
      <c r="R40" s="3"/>
      <c r="S40" s="3"/>
    </row>
    <row r="41" ht="15.75" customHeight="1">
      <c r="P41" s="2"/>
      <c r="R41" s="3"/>
      <c r="S41" s="3"/>
    </row>
    <row r="42" ht="15.75" customHeight="1">
      <c r="P42" s="2"/>
      <c r="R42" s="3"/>
      <c r="S42" s="3"/>
    </row>
    <row r="43" ht="15.75" customHeight="1">
      <c r="P43" s="2"/>
      <c r="R43" s="3"/>
      <c r="S43" s="3"/>
    </row>
    <row r="44" ht="15.75" customHeight="1">
      <c r="P44" s="2"/>
      <c r="R44" s="3"/>
      <c r="S44" s="3"/>
    </row>
    <row r="45" ht="15.75" customHeight="1">
      <c r="P45" s="2"/>
      <c r="R45" s="3"/>
      <c r="S45" s="3"/>
    </row>
    <row r="46" ht="15.75" customHeight="1">
      <c r="P46" s="2"/>
      <c r="R46" s="3"/>
      <c r="S46" s="3"/>
    </row>
    <row r="47" ht="15.75" customHeight="1">
      <c r="P47" s="2"/>
      <c r="R47" s="3"/>
      <c r="S47" s="3"/>
    </row>
    <row r="48" ht="15.75" customHeight="1">
      <c r="P48" s="2"/>
      <c r="R48" s="3"/>
      <c r="S48" s="3"/>
    </row>
    <row r="49" ht="15.75" customHeight="1">
      <c r="P49" s="2"/>
      <c r="R49" s="3"/>
      <c r="S49" s="3"/>
    </row>
    <row r="50" ht="15.75" customHeight="1">
      <c r="P50" s="2"/>
      <c r="R50" s="3"/>
      <c r="S50" s="3"/>
    </row>
    <row r="51" ht="15.75" customHeight="1">
      <c r="P51" s="2"/>
      <c r="R51" s="3"/>
      <c r="S51" s="3"/>
    </row>
    <row r="52" ht="15.75" customHeight="1">
      <c r="P52" s="2"/>
      <c r="R52" s="3"/>
      <c r="S52" s="3"/>
    </row>
    <row r="53" ht="15.75" customHeight="1">
      <c r="P53" s="2"/>
      <c r="R53" s="3"/>
      <c r="S53" s="3"/>
    </row>
    <row r="54" ht="15.75" customHeight="1">
      <c r="P54" s="2"/>
      <c r="R54" s="3"/>
      <c r="S54" s="3"/>
    </row>
    <row r="55" ht="15.75" customHeight="1">
      <c r="P55" s="2"/>
      <c r="R55" s="3"/>
      <c r="S55" s="3"/>
    </row>
    <row r="56" ht="15.75" customHeight="1">
      <c r="P56" s="2"/>
      <c r="R56" s="3"/>
      <c r="S56" s="3"/>
    </row>
    <row r="57" ht="15.75" customHeight="1">
      <c r="P57" s="2"/>
      <c r="R57" s="3"/>
      <c r="S57" s="3"/>
    </row>
    <row r="58" ht="15.75" customHeight="1">
      <c r="P58" s="2"/>
      <c r="R58" s="3"/>
      <c r="S58" s="3"/>
    </row>
    <row r="59" ht="15.75" customHeight="1">
      <c r="P59" s="2"/>
      <c r="R59" s="3"/>
      <c r="S59" s="3"/>
    </row>
    <row r="60" ht="15.75" customHeight="1">
      <c r="P60" s="2"/>
      <c r="R60" s="3"/>
      <c r="S60" s="3"/>
    </row>
    <row r="61" ht="15.75" customHeight="1">
      <c r="P61" s="2"/>
      <c r="R61" s="3"/>
      <c r="S61" s="3"/>
    </row>
    <row r="62" ht="15.75" customHeight="1">
      <c r="P62" s="2"/>
      <c r="R62" s="3"/>
      <c r="S62" s="3"/>
    </row>
    <row r="63" ht="15.75" customHeight="1">
      <c r="P63" s="2"/>
      <c r="R63" s="3"/>
      <c r="S63" s="3"/>
    </row>
    <row r="64" ht="15.75" customHeight="1">
      <c r="P64" s="2"/>
      <c r="R64" s="3"/>
      <c r="S64" s="3"/>
    </row>
    <row r="65" ht="15.75" customHeight="1">
      <c r="P65" s="2"/>
      <c r="R65" s="3"/>
      <c r="S65" s="3"/>
    </row>
    <row r="66" ht="15.75" customHeight="1">
      <c r="P66" s="2"/>
      <c r="R66" s="3"/>
      <c r="S66" s="3"/>
    </row>
    <row r="67" ht="15.75" customHeight="1">
      <c r="P67" s="2"/>
      <c r="R67" s="3"/>
      <c r="S67" s="3"/>
    </row>
    <row r="68" ht="15.75" customHeight="1">
      <c r="P68" s="2"/>
      <c r="R68" s="3"/>
      <c r="S68" s="3"/>
    </row>
    <row r="69" ht="15.75" customHeight="1">
      <c r="P69" s="2"/>
      <c r="R69" s="3"/>
      <c r="S69" s="3"/>
    </row>
    <row r="70" ht="15.75" customHeight="1">
      <c r="P70" s="2"/>
      <c r="R70" s="3"/>
      <c r="S70" s="3"/>
    </row>
    <row r="71" ht="15.75" customHeight="1">
      <c r="P71" s="2"/>
      <c r="R71" s="3"/>
      <c r="S71" s="3"/>
    </row>
    <row r="72" ht="15.75" customHeight="1">
      <c r="P72" s="2"/>
      <c r="R72" s="3"/>
      <c r="S72" s="3"/>
    </row>
    <row r="73" ht="15.75" customHeight="1">
      <c r="P73" s="2"/>
      <c r="R73" s="3"/>
      <c r="S73" s="3"/>
    </row>
    <row r="74" ht="15.75" customHeight="1">
      <c r="P74" s="2"/>
      <c r="R74" s="3"/>
      <c r="S74" s="3"/>
    </row>
    <row r="75" ht="15.75" customHeight="1">
      <c r="P75" s="2"/>
      <c r="R75" s="3"/>
      <c r="S75" s="3"/>
    </row>
    <row r="76" ht="15.75" customHeight="1">
      <c r="P76" s="2"/>
      <c r="R76" s="3"/>
      <c r="S76" s="3"/>
    </row>
    <row r="77" ht="15.75" customHeight="1">
      <c r="P77" s="2"/>
      <c r="R77" s="3"/>
      <c r="S77" s="3"/>
    </row>
    <row r="78" ht="15.75" customHeight="1">
      <c r="P78" s="2"/>
      <c r="R78" s="3"/>
      <c r="S78" s="3"/>
    </row>
    <row r="79" ht="15.75" customHeight="1">
      <c r="P79" s="2"/>
      <c r="R79" s="3"/>
      <c r="S79" s="3"/>
    </row>
    <row r="80" ht="15.75" customHeight="1">
      <c r="P80" s="2"/>
      <c r="R80" s="3"/>
      <c r="S80" s="3"/>
    </row>
    <row r="81" ht="15.75" customHeight="1">
      <c r="P81" s="2"/>
      <c r="R81" s="3"/>
      <c r="S81" s="3"/>
    </row>
    <row r="82" ht="15.75" customHeight="1">
      <c r="P82" s="2"/>
      <c r="R82" s="3"/>
      <c r="S82" s="3"/>
    </row>
    <row r="83" ht="15.75" customHeight="1">
      <c r="P83" s="2"/>
      <c r="R83" s="3"/>
      <c r="S83" s="3"/>
    </row>
    <row r="84" ht="15.75" customHeight="1">
      <c r="P84" s="2"/>
      <c r="R84" s="3"/>
      <c r="S84" s="3"/>
    </row>
    <row r="85" ht="15.75" customHeight="1">
      <c r="P85" s="2"/>
      <c r="R85" s="3"/>
      <c r="S85" s="3"/>
    </row>
    <row r="86" ht="15.75" customHeight="1">
      <c r="P86" s="2"/>
      <c r="R86" s="3"/>
      <c r="S86" s="3"/>
    </row>
    <row r="87" ht="15.75" customHeight="1">
      <c r="P87" s="2"/>
      <c r="R87" s="3"/>
      <c r="S87" s="3"/>
    </row>
    <row r="88" ht="15.75" customHeight="1">
      <c r="P88" s="2"/>
      <c r="R88" s="3"/>
      <c r="S88" s="3"/>
    </row>
    <row r="89" ht="15.75" customHeight="1">
      <c r="P89" s="2"/>
      <c r="R89" s="3"/>
      <c r="S89" s="3"/>
    </row>
    <row r="90" ht="15.75" customHeight="1">
      <c r="P90" s="2"/>
      <c r="R90" s="3"/>
      <c r="S90" s="3"/>
    </row>
    <row r="91" ht="15.75" customHeight="1">
      <c r="P91" s="2"/>
      <c r="R91" s="3"/>
      <c r="S91" s="3"/>
    </row>
    <row r="92" ht="15.75" customHeight="1">
      <c r="P92" s="2"/>
      <c r="R92" s="3"/>
      <c r="S92" s="3"/>
    </row>
    <row r="93" ht="15.75" customHeight="1">
      <c r="P93" s="2"/>
      <c r="R93" s="3"/>
      <c r="S93" s="3"/>
    </row>
    <row r="94" ht="15.75" customHeight="1">
      <c r="P94" s="2"/>
      <c r="R94" s="3"/>
      <c r="S94" s="3"/>
    </row>
    <row r="95" ht="15.75" customHeight="1">
      <c r="P95" s="2"/>
      <c r="R95" s="3"/>
      <c r="S95" s="3"/>
    </row>
    <row r="96" ht="15.75" customHeight="1">
      <c r="P96" s="2"/>
      <c r="R96" s="3"/>
      <c r="S96" s="3"/>
    </row>
    <row r="97" ht="15.75" customHeight="1">
      <c r="P97" s="2"/>
      <c r="R97" s="3"/>
      <c r="S97" s="3"/>
    </row>
    <row r="98" ht="15.75" customHeight="1">
      <c r="P98" s="2"/>
      <c r="R98" s="3"/>
      <c r="S98" s="3"/>
    </row>
    <row r="99" ht="15.75" customHeight="1">
      <c r="P99" s="2"/>
      <c r="R99" s="3"/>
      <c r="S99" s="3"/>
    </row>
    <row r="100" ht="15.75" customHeight="1">
      <c r="P100" s="2"/>
      <c r="R100" s="3"/>
      <c r="S100" s="3"/>
    </row>
    <row r="101" ht="15.75" customHeight="1">
      <c r="P101" s="2"/>
      <c r="R101" s="3"/>
      <c r="S101" s="3"/>
    </row>
    <row r="102" ht="15.75" customHeight="1">
      <c r="P102" s="2"/>
      <c r="R102" s="3"/>
      <c r="S102" s="3"/>
    </row>
    <row r="103" ht="15.75" customHeight="1">
      <c r="P103" s="2"/>
      <c r="R103" s="3"/>
      <c r="S103" s="3"/>
    </row>
    <row r="104" ht="15.75" customHeight="1">
      <c r="P104" s="2"/>
      <c r="R104" s="3"/>
      <c r="S104" s="3"/>
    </row>
    <row r="105" ht="15.75" customHeight="1">
      <c r="P105" s="2"/>
      <c r="R105" s="3"/>
      <c r="S105" s="3"/>
    </row>
    <row r="106" ht="15.75" customHeight="1">
      <c r="P106" s="2"/>
      <c r="R106" s="3"/>
      <c r="S106" s="3"/>
    </row>
    <row r="107" ht="15.75" customHeight="1">
      <c r="P107" s="2"/>
      <c r="R107" s="3"/>
      <c r="S107" s="3"/>
    </row>
    <row r="108" ht="15.75" customHeight="1">
      <c r="P108" s="2"/>
      <c r="R108" s="3"/>
      <c r="S108" s="3"/>
    </row>
    <row r="109" ht="15.75" customHeight="1">
      <c r="P109" s="2"/>
      <c r="R109" s="3"/>
      <c r="S109" s="3"/>
    </row>
    <row r="110" ht="15.75" customHeight="1">
      <c r="P110" s="2"/>
      <c r="R110" s="3"/>
      <c r="S110" s="3"/>
    </row>
    <row r="111" ht="15.75" customHeight="1">
      <c r="P111" s="2"/>
      <c r="R111" s="3"/>
      <c r="S111" s="3"/>
    </row>
    <row r="112" ht="15.75" customHeight="1">
      <c r="P112" s="2"/>
      <c r="R112" s="3"/>
      <c r="S112" s="3"/>
    </row>
    <row r="113" ht="15.75" customHeight="1">
      <c r="P113" s="2"/>
      <c r="R113" s="3"/>
      <c r="S113" s="3"/>
    </row>
    <row r="114" ht="15.75" customHeight="1">
      <c r="P114" s="2"/>
      <c r="R114" s="3"/>
      <c r="S114" s="3"/>
    </row>
    <row r="115" ht="15.75" customHeight="1">
      <c r="P115" s="2"/>
      <c r="R115" s="3"/>
      <c r="S115" s="3"/>
    </row>
    <row r="116" ht="15.75" customHeight="1">
      <c r="P116" s="2"/>
      <c r="R116" s="3"/>
      <c r="S116" s="3"/>
    </row>
    <row r="117" ht="15.75" customHeight="1">
      <c r="P117" s="2"/>
      <c r="R117" s="3"/>
      <c r="S117" s="3"/>
    </row>
    <row r="118" ht="15.75" customHeight="1">
      <c r="P118" s="2"/>
      <c r="R118" s="3"/>
      <c r="S118" s="3"/>
    </row>
    <row r="119" ht="15.75" customHeight="1">
      <c r="P119" s="2"/>
      <c r="R119" s="3"/>
      <c r="S119" s="3"/>
    </row>
    <row r="120" ht="15.75" customHeight="1">
      <c r="P120" s="2"/>
      <c r="R120" s="3"/>
      <c r="S120" s="3"/>
    </row>
    <row r="121" ht="15.75" customHeight="1">
      <c r="P121" s="2"/>
      <c r="R121" s="3"/>
      <c r="S121" s="3"/>
    </row>
    <row r="122" ht="15.75" customHeight="1">
      <c r="P122" s="2"/>
      <c r="R122" s="3"/>
      <c r="S122" s="3"/>
    </row>
    <row r="123" ht="15.75" customHeight="1">
      <c r="P123" s="2"/>
      <c r="R123" s="3"/>
      <c r="S123" s="3"/>
    </row>
    <row r="124" ht="15.75" customHeight="1">
      <c r="P124" s="2"/>
      <c r="R124" s="3"/>
      <c r="S124" s="3"/>
    </row>
    <row r="125" ht="15.75" customHeight="1">
      <c r="P125" s="2"/>
      <c r="R125" s="3"/>
      <c r="S125" s="3"/>
    </row>
    <row r="126" ht="15.75" customHeight="1">
      <c r="P126" s="2"/>
      <c r="R126" s="3"/>
      <c r="S126" s="3"/>
    </row>
    <row r="127" ht="15.75" customHeight="1">
      <c r="P127" s="2"/>
      <c r="R127" s="3"/>
      <c r="S127" s="3"/>
    </row>
    <row r="128" ht="15.75" customHeight="1">
      <c r="P128" s="2"/>
      <c r="R128" s="3"/>
      <c r="S128" s="3"/>
    </row>
    <row r="129" ht="15.75" customHeight="1">
      <c r="P129" s="2"/>
      <c r="R129" s="3"/>
      <c r="S129" s="3"/>
    </row>
    <row r="130" ht="15.75" customHeight="1">
      <c r="P130" s="2"/>
      <c r="R130" s="3"/>
      <c r="S130" s="3"/>
    </row>
    <row r="131" ht="15.75" customHeight="1">
      <c r="P131" s="2"/>
      <c r="R131" s="3"/>
      <c r="S131" s="3"/>
    </row>
    <row r="132" ht="15.75" customHeight="1">
      <c r="P132" s="2"/>
      <c r="R132" s="3"/>
      <c r="S132" s="3"/>
    </row>
    <row r="133" ht="15.75" customHeight="1">
      <c r="P133" s="2"/>
      <c r="R133" s="3"/>
      <c r="S133" s="3"/>
    </row>
    <row r="134" ht="15.75" customHeight="1">
      <c r="P134" s="2"/>
      <c r="R134" s="3"/>
      <c r="S134" s="3"/>
    </row>
    <row r="135" ht="15.75" customHeight="1">
      <c r="P135" s="2"/>
      <c r="R135" s="3"/>
      <c r="S135" s="3"/>
    </row>
    <row r="136" ht="15.75" customHeight="1">
      <c r="P136" s="2"/>
      <c r="R136" s="3"/>
      <c r="S136" s="3"/>
    </row>
    <row r="137" ht="15.75" customHeight="1">
      <c r="P137" s="2"/>
      <c r="R137" s="3"/>
      <c r="S137" s="3"/>
    </row>
    <row r="138" ht="15.75" customHeight="1">
      <c r="P138" s="2"/>
      <c r="R138" s="3"/>
      <c r="S138" s="3"/>
    </row>
    <row r="139" ht="15.75" customHeight="1">
      <c r="P139" s="2"/>
      <c r="R139" s="3"/>
      <c r="S139" s="3"/>
    </row>
    <row r="140" ht="15.75" customHeight="1">
      <c r="P140" s="2"/>
      <c r="R140" s="3"/>
      <c r="S140" s="3"/>
    </row>
    <row r="141" ht="15.75" customHeight="1">
      <c r="P141" s="2"/>
      <c r="R141" s="3"/>
      <c r="S141" s="3"/>
    </row>
    <row r="142" ht="15.75" customHeight="1">
      <c r="P142" s="2"/>
      <c r="R142" s="3"/>
      <c r="S142" s="3"/>
    </row>
    <row r="143" ht="15.75" customHeight="1">
      <c r="P143" s="2"/>
      <c r="R143" s="3"/>
      <c r="S143" s="3"/>
    </row>
    <row r="144" ht="15.75" customHeight="1">
      <c r="P144" s="2"/>
      <c r="R144" s="3"/>
      <c r="S144" s="3"/>
    </row>
    <row r="145" ht="15.75" customHeight="1">
      <c r="P145" s="2"/>
      <c r="R145" s="3"/>
      <c r="S145" s="3"/>
    </row>
    <row r="146" ht="15.75" customHeight="1">
      <c r="P146" s="2"/>
      <c r="R146" s="3"/>
      <c r="S146" s="3"/>
    </row>
    <row r="147" ht="15.75" customHeight="1">
      <c r="P147" s="2"/>
      <c r="R147" s="3"/>
      <c r="S147" s="3"/>
    </row>
    <row r="148" ht="15.75" customHeight="1">
      <c r="P148" s="2"/>
      <c r="R148" s="3"/>
      <c r="S148" s="3"/>
    </row>
    <row r="149" ht="15.75" customHeight="1">
      <c r="P149" s="2"/>
      <c r="R149" s="3"/>
      <c r="S149" s="3"/>
    </row>
    <row r="150" ht="15.75" customHeight="1">
      <c r="P150" s="2"/>
      <c r="R150" s="3"/>
      <c r="S150" s="3"/>
    </row>
    <row r="151" ht="15.75" customHeight="1">
      <c r="P151" s="2"/>
      <c r="R151" s="3"/>
      <c r="S151" s="3"/>
    </row>
    <row r="152" ht="15.75" customHeight="1">
      <c r="P152" s="2"/>
      <c r="R152" s="3"/>
      <c r="S152" s="3"/>
    </row>
    <row r="153" ht="15.75" customHeight="1">
      <c r="P153" s="2"/>
      <c r="R153" s="3"/>
      <c r="S153" s="3"/>
    </row>
    <row r="154" ht="15.75" customHeight="1">
      <c r="P154" s="2"/>
      <c r="R154" s="3"/>
      <c r="S154" s="3"/>
    </row>
    <row r="155" ht="15.75" customHeight="1">
      <c r="P155" s="2"/>
      <c r="R155" s="3"/>
      <c r="S155" s="3"/>
    </row>
    <row r="156" ht="15.75" customHeight="1">
      <c r="P156" s="2"/>
      <c r="R156" s="3"/>
      <c r="S156" s="3"/>
    </row>
    <row r="157" ht="15.75" customHeight="1">
      <c r="P157" s="2"/>
      <c r="R157" s="3"/>
      <c r="S157" s="3"/>
    </row>
    <row r="158" ht="15.75" customHeight="1">
      <c r="P158" s="2"/>
      <c r="R158" s="3"/>
      <c r="S158" s="3"/>
    </row>
    <row r="159" ht="15.75" customHeight="1">
      <c r="P159" s="2"/>
      <c r="R159" s="3"/>
      <c r="S159" s="3"/>
    </row>
    <row r="160" ht="15.75" customHeight="1">
      <c r="P160" s="2"/>
      <c r="R160" s="3"/>
      <c r="S160" s="3"/>
    </row>
    <row r="161" ht="15.75" customHeight="1">
      <c r="P161" s="2"/>
      <c r="R161" s="3"/>
      <c r="S161" s="3"/>
    </row>
    <row r="162" ht="15.75" customHeight="1">
      <c r="P162" s="2"/>
      <c r="R162" s="3"/>
      <c r="S162" s="3"/>
    </row>
    <row r="163" ht="15.75" customHeight="1">
      <c r="P163" s="2"/>
      <c r="R163" s="3"/>
      <c r="S163" s="3"/>
    </row>
    <row r="164" ht="15.75" customHeight="1">
      <c r="P164" s="2"/>
      <c r="R164" s="3"/>
      <c r="S164" s="3"/>
    </row>
    <row r="165" ht="15.75" customHeight="1">
      <c r="P165" s="2"/>
      <c r="R165" s="3"/>
      <c r="S165" s="3"/>
    </row>
    <row r="166" ht="15.75" customHeight="1">
      <c r="P166" s="2"/>
      <c r="R166" s="3"/>
      <c r="S166" s="3"/>
    </row>
    <row r="167" ht="15.75" customHeight="1">
      <c r="P167" s="2"/>
      <c r="R167" s="3"/>
      <c r="S167" s="3"/>
    </row>
    <row r="168" ht="15.75" customHeight="1">
      <c r="P168" s="2"/>
      <c r="R168" s="3"/>
      <c r="S168" s="3"/>
    </row>
    <row r="169" ht="15.75" customHeight="1">
      <c r="P169" s="2"/>
      <c r="R169" s="3"/>
      <c r="S169" s="3"/>
    </row>
    <row r="170" ht="15.75" customHeight="1">
      <c r="P170" s="2"/>
      <c r="R170" s="3"/>
      <c r="S170" s="3"/>
    </row>
    <row r="171" ht="15.75" customHeight="1">
      <c r="P171" s="2"/>
      <c r="R171" s="3"/>
      <c r="S171" s="3"/>
    </row>
    <row r="172" ht="15.75" customHeight="1">
      <c r="P172" s="2"/>
      <c r="R172" s="3"/>
      <c r="S172" s="3"/>
    </row>
    <row r="173" ht="15.75" customHeight="1">
      <c r="P173" s="2"/>
      <c r="R173" s="3"/>
      <c r="S173" s="3"/>
    </row>
    <row r="174" ht="15.75" customHeight="1">
      <c r="P174" s="2"/>
      <c r="R174" s="3"/>
      <c r="S174" s="3"/>
    </row>
    <row r="175" ht="15.75" customHeight="1">
      <c r="P175" s="2"/>
      <c r="R175" s="3"/>
      <c r="S175" s="3"/>
    </row>
    <row r="176" ht="15.75" customHeight="1">
      <c r="P176" s="2"/>
      <c r="R176" s="3"/>
      <c r="S176" s="3"/>
    </row>
    <row r="177" ht="15.75" customHeight="1">
      <c r="P177" s="2"/>
      <c r="R177" s="3"/>
      <c r="S177" s="3"/>
    </row>
    <row r="178" ht="15.75" customHeight="1">
      <c r="P178" s="2"/>
      <c r="R178" s="3"/>
      <c r="S178" s="3"/>
    </row>
    <row r="179" ht="15.75" customHeight="1">
      <c r="P179" s="2"/>
      <c r="R179" s="3"/>
      <c r="S179" s="3"/>
    </row>
    <row r="180" ht="15.75" customHeight="1">
      <c r="P180" s="2"/>
      <c r="R180" s="3"/>
      <c r="S180" s="3"/>
    </row>
    <row r="181" ht="15.75" customHeight="1">
      <c r="P181" s="2"/>
      <c r="R181" s="3"/>
      <c r="S181" s="3"/>
    </row>
    <row r="182" ht="15.75" customHeight="1">
      <c r="P182" s="2"/>
      <c r="R182" s="3"/>
      <c r="S182" s="3"/>
    </row>
    <row r="183" ht="15.75" customHeight="1">
      <c r="P183" s="2"/>
      <c r="R183" s="3"/>
      <c r="S183" s="3"/>
    </row>
    <row r="184" ht="15.75" customHeight="1">
      <c r="P184" s="2"/>
      <c r="R184" s="3"/>
      <c r="S184" s="3"/>
    </row>
    <row r="185" ht="15.75" customHeight="1">
      <c r="P185" s="2"/>
      <c r="R185" s="3"/>
      <c r="S185" s="3"/>
    </row>
    <row r="186" ht="15.75" customHeight="1">
      <c r="P186" s="2"/>
      <c r="R186" s="3"/>
      <c r="S186" s="3"/>
    </row>
    <row r="187" ht="15.75" customHeight="1">
      <c r="P187" s="2"/>
      <c r="R187" s="3"/>
      <c r="S187" s="3"/>
    </row>
    <row r="188" ht="15.75" customHeight="1">
      <c r="P188" s="2"/>
      <c r="R188" s="3"/>
      <c r="S188" s="3"/>
    </row>
    <row r="189" ht="15.75" customHeight="1">
      <c r="P189" s="2"/>
      <c r="R189" s="3"/>
      <c r="S189" s="3"/>
    </row>
    <row r="190" ht="15.75" customHeight="1">
      <c r="P190" s="2"/>
      <c r="R190" s="3"/>
      <c r="S190" s="3"/>
    </row>
    <row r="191" ht="15.75" customHeight="1">
      <c r="P191" s="2"/>
      <c r="R191" s="3"/>
      <c r="S191" s="3"/>
    </row>
    <row r="192" ht="15.75" customHeight="1">
      <c r="P192" s="2"/>
      <c r="R192" s="3"/>
      <c r="S192" s="3"/>
    </row>
    <row r="193" ht="15.75" customHeight="1">
      <c r="P193" s="2"/>
      <c r="R193" s="3"/>
      <c r="S193" s="3"/>
    </row>
    <row r="194" ht="15.75" customHeight="1">
      <c r="P194" s="2"/>
      <c r="R194" s="3"/>
      <c r="S194" s="3"/>
    </row>
    <row r="195" ht="15.75" customHeight="1">
      <c r="P195" s="2"/>
      <c r="R195" s="3"/>
      <c r="S195" s="3"/>
    </row>
    <row r="196" ht="15.75" customHeight="1">
      <c r="P196" s="2"/>
      <c r="R196" s="3"/>
      <c r="S196" s="3"/>
    </row>
    <row r="197" ht="15.75" customHeight="1">
      <c r="P197" s="2"/>
      <c r="R197" s="3"/>
      <c r="S197" s="3"/>
    </row>
    <row r="198" ht="15.75" customHeight="1">
      <c r="P198" s="2"/>
      <c r="R198" s="3"/>
      <c r="S198" s="3"/>
    </row>
    <row r="199" ht="15.75" customHeight="1">
      <c r="P199" s="2"/>
      <c r="R199" s="3"/>
      <c r="S199" s="3"/>
    </row>
    <row r="200" ht="15.75" customHeight="1">
      <c r="P200" s="2"/>
      <c r="R200" s="3"/>
      <c r="S200" s="3"/>
    </row>
    <row r="201" ht="15.75" customHeight="1">
      <c r="P201" s="2"/>
      <c r="R201" s="3"/>
      <c r="S201" s="3"/>
    </row>
    <row r="202" ht="15.75" customHeight="1">
      <c r="P202" s="2"/>
      <c r="R202" s="3"/>
      <c r="S202" s="3"/>
    </row>
    <row r="203" ht="15.75" customHeight="1">
      <c r="P203" s="2"/>
      <c r="R203" s="3"/>
      <c r="S203" s="3"/>
    </row>
    <row r="204" ht="15.75" customHeight="1">
      <c r="P204" s="2"/>
      <c r="R204" s="3"/>
      <c r="S204" s="3"/>
    </row>
    <row r="205" ht="15.75" customHeight="1">
      <c r="P205" s="2"/>
      <c r="R205" s="3"/>
      <c r="S205" s="3"/>
    </row>
    <row r="206" ht="15.75" customHeight="1">
      <c r="P206" s="2"/>
      <c r="R206" s="3"/>
      <c r="S206" s="3"/>
    </row>
    <row r="207" ht="15.75" customHeight="1">
      <c r="P207" s="2"/>
      <c r="R207" s="3"/>
      <c r="S207" s="3"/>
    </row>
    <row r="208" ht="15.75" customHeight="1">
      <c r="P208" s="2"/>
      <c r="R208" s="3"/>
      <c r="S208" s="3"/>
    </row>
    <row r="209" ht="15.75" customHeight="1">
      <c r="P209" s="2"/>
      <c r="R209" s="3"/>
      <c r="S209" s="3"/>
    </row>
    <row r="210" ht="15.75" customHeight="1">
      <c r="P210" s="2"/>
      <c r="R210" s="3"/>
      <c r="S210" s="3"/>
    </row>
    <row r="211" ht="15.75" customHeight="1">
      <c r="P211" s="2"/>
      <c r="R211" s="3"/>
      <c r="S211" s="3"/>
    </row>
    <row r="212" ht="15.75" customHeight="1">
      <c r="P212" s="2"/>
      <c r="R212" s="3"/>
      <c r="S212" s="3"/>
    </row>
    <row r="213" ht="15.75" customHeight="1">
      <c r="P213" s="2"/>
      <c r="R213" s="3"/>
      <c r="S213" s="3"/>
    </row>
    <row r="214" ht="15.75" customHeight="1">
      <c r="P214" s="2"/>
      <c r="R214" s="3"/>
      <c r="S214" s="3"/>
    </row>
    <row r="215" ht="15.75" customHeight="1">
      <c r="P215" s="2"/>
      <c r="R215" s="3"/>
      <c r="S215" s="3"/>
    </row>
    <row r="216" ht="15.75" customHeight="1">
      <c r="P216" s="2"/>
      <c r="R216" s="3"/>
      <c r="S216" s="3"/>
    </row>
    <row r="217" ht="15.75" customHeight="1">
      <c r="P217" s="2"/>
      <c r="R217" s="3"/>
      <c r="S217" s="3"/>
    </row>
    <row r="218" ht="15.75" customHeight="1">
      <c r="P218" s="2"/>
      <c r="R218" s="3"/>
      <c r="S218" s="3"/>
    </row>
    <row r="219" ht="15.75" customHeight="1">
      <c r="P219" s="2"/>
      <c r="R219" s="3"/>
      <c r="S219" s="3"/>
    </row>
    <row r="220" ht="15.75" customHeight="1">
      <c r="P220" s="2"/>
      <c r="R220" s="3"/>
      <c r="S220" s="3"/>
    </row>
    <row r="221" ht="15.75" customHeight="1">
      <c r="P221" s="2"/>
      <c r="R221" s="3"/>
      <c r="S221" s="3"/>
    </row>
    <row r="222" ht="15.75" customHeight="1">
      <c r="P222" s="2"/>
      <c r="R222" s="3"/>
      <c r="S222" s="3"/>
    </row>
    <row r="223" ht="15.75" customHeight="1">
      <c r="P223" s="2"/>
      <c r="R223" s="3"/>
      <c r="S223" s="3"/>
    </row>
    <row r="224" ht="15.75" customHeight="1">
      <c r="P224" s="2"/>
      <c r="R224" s="3"/>
      <c r="S224" s="3"/>
    </row>
    <row r="225" ht="15.75" customHeight="1">
      <c r="P225" s="2"/>
      <c r="R225" s="3"/>
      <c r="S225" s="3"/>
    </row>
    <row r="226" ht="15.75" customHeight="1">
      <c r="P226" s="2"/>
      <c r="R226" s="3"/>
      <c r="S226" s="3"/>
    </row>
    <row r="227" ht="15.75" customHeight="1">
      <c r="P227" s="2"/>
      <c r="R227" s="3"/>
      <c r="S227" s="3"/>
    </row>
    <row r="228" ht="15.75" customHeight="1">
      <c r="P228" s="2"/>
      <c r="R228" s="3"/>
      <c r="S228" s="3"/>
    </row>
    <row r="229" ht="15.75" customHeight="1">
      <c r="P229" s="2"/>
      <c r="R229" s="3"/>
      <c r="S229" s="3"/>
    </row>
    <row r="230" ht="15.75" customHeight="1">
      <c r="P230" s="2"/>
      <c r="R230" s="3"/>
      <c r="S230" s="3"/>
    </row>
    <row r="231" ht="15.75" customHeight="1">
      <c r="P231" s="2"/>
      <c r="R231" s="3"/>
      <c r="S231" s="3"/>
    </row>
    <row r="232" ht="15.75" customHeight="1">
      <c r="P232" s="2"/>
      <c r="R232" s="3"/>
      <c r="S232" s="3"/>
    </row>
    <row r="233" ht="15.75" customHeight="1">
      <c r="P233" s="2"/>
      <c r="R233" s="3"/>
      <c r="S233" s="3"/>
    </row>
    <row r="234" ht="15.75" customHeight="1">
      <c r="P234" s="2"/>
      <c r="R234" s="3"/>
      <c r="S234" s="3"/>
    </row>
    <row r="235" ht="15.75" customHeight="1">
      <c r="P235" s="2"/>
      <c r="R235" s="3"/>
      <c r="S235" s="3"/>
    </row>
    <row r="236" ht="15.75" customHeight="1">
      <c r="P236" s="2"/>
      <c r="R236" s="3"/>
      <c r="S236" s="3"/>
    </row>
    <row r="237" ht="15.75" customHeight="1">
      <c r="P237" s="2"/>
      <c r="R237" s="3"/>
      <c r="S237" s="3"/>
    </row>
    <row r="238" ht="15.75" customHeight="1">
      <c r="P238" s="2"/>
      <c r="R238" s="3"/>
      <c r="S238" s="3"/>
    </row>
    <row r="239" ht="15.75" customHeight="1">
      <c r="P239" s="2"/>
      <c r="R239" s="3"/>
      <c r="S239" s="3"/>
    </row>
    <row r="240" ht="15.75" customHeight="1">
      <c r="P240" s="2"/>
      <c r="R240" s="3"/>
      <c r="S240" s="3"/>
    </row>
    <row r="241" ht="15.75" customHeight="1">
      <c r="P241" s="2"/>
      <c r="R241" s="3"/>
      <c r="S241" s="3"/>
    </row>
    <row r="242" ht="15.75" customHeight="1">
      <c r="P242" s="2"/>
      <c r="R242" s="3"/>
      <c r="S242" s="3"/>
    </row>
    <row r="243" ht="15.75" customHeight="1">
      <c r="P243" s="2"/>
      <c r="R243" s="3"/>
      <c r="S243" s="3"/>
    </row>
    <row r="244" ht="15.75" customHeight="1">
      <c r="P244" s="2"/>
      <c r="R244" s="3"/>
      <c r="S244" s="3"/>
    </row>
    <row r="245" ht="15.75" customHeight="1">
      <c r="P245" s="2"/>
      <c r="R245" s="3"/>
      <c r="S245" s="3"/>
    </row>
    <row r="246" ht="15.75" customHeight="1">
      <c r="P246" s="2"/>
      <c r="R246" s="3"/>
      <c r="S246" s="3"/>
    </row>
    <row r="247" ht="15.75" customHeight="1">
      <c r="P247" s="2"/>
      <c r="R247" s="3"/>
      <c r="S247" s="3"/>
    </row>
    <row r="248" ht="15.75" customHeight="1">
      <c r="P248" s="2"/>
      <c r="R248" s="3"/>
      <c r="S248" s="3"/>
    </row>
    <row r="249" ht="15.75" customHeight="1">
      <c r="P249" s="2"/>
      <c r="R249" s="3"/>
      <c r="S249" s="3"/>
    </row>
    <row r="250" ht="15.75" customHeight="1">
      <c r="P250" s="2"/>
      <c r="R250" s="3"/>
      <c r="S250" s="3"/>
    </row>
    <row r="251" ht="15.75" customHeight="1">
      <c r="P251" s="2"/>
      <c r="R251" s="3"/>
      <c r="S251" s="3"/>
    </row>
    <row r="252" ht="15.75" customHeight="1">
      <c r="P252" s="2"/>
      <c r="R252" s="3"/>
      <c r="S252" s="3"/>
    </row>
    <row r="253" ht="15.75" customHeight="1">
      <c r="P253" s="2"/>
      <c r="R253" s="3"/>
      <c r="S253" s="3"/>
    </row>
    <row r="254" ht="15.75" customHeight="1">
      <c r="P254" s="2"/>
      <c r="R254" s="3"/>
      <c r="S254" s="3"/>
    </row>
    <row r="255" ht="15.75" customHeight="1">
      <c r="P255" s="2"/>
      <c r="R255" s="3"/>
      <c r="S255" s="3"/>
    </row>
    <row r="256" ht="15.75" customHeight="1">
      <c r="P256" s="2"/>
      <c r="R256" s="3"/>
      <c r="S256" s="3"/>
    </row>
    <row r="257" ht="15.75" customHeight="1">
      <c r="P257" s="2"/>
      <c r="R257" s="3"/>
      <c r="S257" s="3"/>
    </row>
    <row r="258" ht="15.75" customHeight="1">
      <c r="P258" s="2"/>
      <c r="R258" s="3"/>
      <c r="S258" s="3"/>
    </row>
    <row r="259" ht="15.75" customHeight="1">
      <c r="P259" s="2"/>
      <c r="R259" s="3"/>
      <c r="S259" s="3"/>
    </row>
    <row r="260" ht="15.75" customHeight="1">
      <c r="P260" s="2"/>
      <c r="R260" s="3"/>
      <c r="S260" s="3"/>
    </row>
    <row r="261" ht="15.75" customHeight="1">
      <c r="P261" s="2"/>
      <c r="R261" s="3"/>
      <c r="S261" s="3"/>
    </row>
    <row r="262" ht="15.75" customHeight="1">
      <c r="P262" s="2"/>
      <c r="R262" s="3"/>
      <c r="S262" s="3"/>
    </row>
    <row r="263" ht="15.75" customHeight="1">
      <c r="P263" s="2"/>
      <c r="R263" s="3"/>
      <c r="S263" s="3"/>
    </row>
    <row r="264" ht="15.75" customHeight="1">
      <c r="P264" s="2"/>
      <c r="R264" s="3"/>
      <c r="S264" s="3"/>
    </row>
    <row r="265" ht="15.75" customHeight="1">
      <c r="P265" s="2"/>
      <c r="R265" s="3"/>
      <c r="S265" s="3"/>
    </row>
    <row r="266" ht="15.75" customHeight="1">
      <c r="P266" s="2"/>
      <c r="R266" s="3"/>
      <c r="S266" s="3"/>
    </row>
    <row r="267" ht="15.75" customHeight="1">
      <c r="P267" s="2"/>
      <c r="R267" s="3"/>
      <c r="S267" s="3"/>
    </row>
    <row r="268" ht="15.75" customHeight="1">
      <c r="P268" s="2"/>
      <c r="R268" s="3"/>
      <c r="S268" s="3"/>
    </row>
    <row r="269" ht="15.75" customHeight="1">
      <c r="P269" s="2"/>
      <c r="R269" s="3"/>
      <c r="S269" s="3"/>
    </row>
    <row r="270" ht="15.75" customHeight="1">
      <c r="P270" s="2"/>
      <c r="R270" s="3"/>
      <c r="S270" s="3"/>
    </row>
    <row r="271" ht="15.75" customHeight="1">
      <c r="P271" s="2"/>
      <c r="R271" s="3"/>
      <c r="S271" s="3"/>
    </row>
    <row r="272" ht="15.75" customHeight="1">
      <c r="P272" s="2"/>
      <c r="R272" s="3"/>
      <c r="S272" s="3"/>
    </row>
    <row r="273" ht="15.75" customHeight="1">
      <c r="P273" s="2"/>
      <c r="R273" s="3"/>
      <c r="S273" s="3"/>
    </row>
    <row r="274" ht="15.75" customHeight="1">
      <c r="P274" s="2"/>
      <c r="R274" s="3"/>
      <c r="S274" s="3"/>
    </row>
    <row r="275" ht="15.75" customHeight="1">
      <c r="P275" s="2"/>
      <c r="R275" s="3"/>
      <c r="S275" s="3"/>
    </row>
    <row r="276" ht="15.75" customHeight="1">
      <c r="P276" s="2"/>
      <c r="R276" s="3"/>
      <c r="S276" s="3"/>
    </row>
    <row r="277" ht="15.75" customHeight="1">
      <c r="P277" s="2"/>
      <c r="R277" s="3"/>
      <c r="S277" s="3"/>
    </row>
    <row r="278" ht="15.75" customHeight="1">
      <c r="P278" s="2"/>
      <c r="R278" s="3"/>
      <c r="S278" s="3"/>
    </row>
    <row r="279" ht="15.75" customHeight="1">
      <c r="P279" s="2"/>
      <c r="R279" s="3"/>
      <c r="S279" s="3"/>
    </row>
    <row r="280" ht="15.75" customHeight="1">
      <c r="P280" s="2"/>
      <c r="R280" s="3"/>
      <c r="S280" s="3"/>
    </row>
    <row r="281" ht="15.75" customHeight="1">
      <c r="P281" s="2"/>
      <c r="R281" s="3"/>
      <c r="S281" s="3"/>
    </row>
    <row r="282" ht="15.75" customHeight="1">
      <c r="P282" s="2"/>
      <c r="R282" s="3"/>
      <c r="S282" s="3"/>
    </row>
    <row r="283" ht="15.75" customHeight="1">
      <c r="P283" s="2"/>
      <c r="R283" s="3"/>
      <c r="S283" s="3"/>
    </row>
    <row r="284" ht="15.75" customHeight="1">
      <c r="P284" s="2"/>
      <c r="R284" s="3"/>
      <c r="S284" s="3"/>
    </row>
    <row r="285" ht="15.75" customHeight="1">
      <c r="P285" s="2"/>
      <c r="R285" s="3"/>
      <c r="S285" s="3"/>
    </row>
    <row r="286" ht="15.75" customHeight="1">
      <c r="P286" s="2"/>
      <c r="R286" s="3"/>
      <c r="S286" s="3"/>
    </row>
    <row r="287" ht="15.75" customHeight="1">
      <c r="P287" s="2"/>
      <c r="R287" s="3"/>
      <c r="S287" s="3"/>
    </row>
    <row r="288" ht="15.75" customHeight="1">
      <c r="P288" s="2"/>
      <c r="R288" s="3"/>
      <c r="S288" s="3"/>
    </row>
    <row r="289" ht="15.75" customHeight="1">
      <c r="P289" s="2"/>
      <c r="R289" s="3"/>
      <c r="S289" s="3"/>
    </row>
    <row r="290" ht="15.75" customHeight="1">
      <c r="P290" s="2"/>
      <c r="R290" s="3"/>
      <c r="S290" s="3"/>
    </row>
    <row r="291" ht="15.75" customHeight="1">
      <c r="P291" s="2"/>
      <c r="R291" s="3"/>
      <c r="S291" s="3"/>
    </row>
    <row r="292" ht="15.75" customHeight="1">
      <c r="P292" s="2"/>
      <c r="R292" s="3"/>
      <c r="S292" s="3"/>
    </row>
    <row r="293" ht="15.75" customHeight="1">
      <c r="P293" s="2"/>
      <c r="R293" s="3"/>
      <c r="S293" s="3"/>
    </row>
    <row r="294" ht="15.75" customHeight="1">
      <c r="P294" s="2"/>
      <c r="R294" s="3"/>
      <c r="S294" s="3"/>
    </row>
    <row r="295" ht="15.75" customHeight="1">
      <c r="P295" s="2"/>
      <c r="R295" s="3"/>
      <c r="S295" s="3"/>
    </row>
    <row r="296" ht="15.75" customHeight="1">
      <c r="P296" s="2"/>
      <c r="R296" s="3"/>
      <c r="S296" s="3"/>
    </row>
    <row r="297" ht="15.75" customHeight="1">
      <c r="P297" s="2"/>
      <c r="R297" s="3"/>
      <c r="S297" s="3"/>
    </row>
    <row r="298" ht="15.75" customHeight="1">
      <c r="P298" s="2"/>
      <c r="R298" s="3"/>
      <c r="S298" s="3"/>
    </row>
    <row r="299" ht="15.75" customHeight="1">
      <c r="P299" s="2"/>
      <c r="R299" s="3"/>
      <c r="S299" s="3"/>
    </row>
    <row r="300" ht="15.75" customHeight="1">
      <c r="P300" s="2"/>
      <c r="R300" s="3"/>
      <c r="S300" s="3"/>
    </row>
    <row r="301" ht="15.75" customHeight="1">
      <c r="P301" s="2"/>
      <c r="R301" s="3"/>
      <c r="S301" s="3"/>
    </row>
    <row r="302" ht="15.75" customHeight="1">
      <c r="P302" s="2"/>
      <c r="R302" s="3"/>
      <c r="S302" s="3"/>
    </row>
    <row r="303" ht="15.75" customHeight="1">
      <c r="P303" s="2"/>
      <c r="R303" s="3"/>
      <c r="S303" s="3"/>
    </row>
    <row r="304" ht="15.75" customHeight="1">
      <c r="P304" s="2"/>
      <c r="R304" s="3"/>
      <c r="S304" s="3"/>
    </row>
    <row r="305" ht="15.75" customHeight="1">
      <c r="P305" s="2"/>
      <c r="R305" s="3"/>
      <c r="S305" s="3"/>
    </row>
    <row r="306" ht="15.75" customHeight="1">
      <c r="P306" s="2"/>
      <c r="R306" s="3"/>
      <c r="S306" s="3"/>
    </row>
    <row r="307" ht="15.75" customHeight="1">
      <c r="P307" s="2"/>
      <c r="R307" s="3"/>
      <c r="S307" s="3"/>
    </row>
    <row r="308" ht="15.75" customHeight="1">
      <c r="P308" s="2"/>
      <c r="R308" s="3"/>
      <c r="S308" s="3"/>
    </row>
    <row r="309" ht="15.75" customHeight="1">
      <c r="P309" s="2"/>
      <c r="R309" s="3"/>
      <c r="S309" s="3"/>
    </row>
    <row r="310" ht="15.75" customHeight="1">
      <c r="P310" s="2"/>
      <c r="R310" s="3"/>
      <c r="S310" s="3"/>
    </row>
    <row r="311" ht="15.75" customHeight="1">
      <c r="P311" s="2"/>
      <c r="R311" s="3"/>
      <c r="S311" s="3"/>
    </row>
    <row r="312" ht="15.75" customHeight="1">
      <c r="P312" s="2"/>
      <c r="R312" s="3"/>
      <c r="S312" s="3"/>
    </row>
    <row r="313" ht="15.75" customHeight="1">
      <c r="P313" s="2"/>
      <c r="R313" s="3"/>
      <c r="S313" s="3"/>
    </row>
    <row r="314" ht="15.75" customHeight="1">
      <c r="P314" s="2"/>
      <c r="R314" s="3"/>
      <c r="S314" s="3"/>
    </row>
    <row r="315" ht="15.75" customHeight="1">
      <c r="P315" s="2"/>
      <c r="R315" s="3"/>
      <c r="S315" s="3"/>
    </row>
    <row r="316" ht="15.75" customHeight="1">
      <c r="P316" s="2"/>
      <c r="R316" s="3"/>
      <c r="S316" s="3"/>
    </row>
    <row r="317" ht="15.75" customHeight="1">
      <c r="P317" s="2"/>
      <c r="R317" s="3"/>
      <c r="S317" s="3"/>
    </row>
    <row r="318" ht="15.75" customHeight="1">
      <c r="P318" s="2"/>
      <c r="R318" s="3"/>
      <c r="S318" s="3"/>
    </row>
    <row r="319" ht="15.75" customHeight="1">
      <c r="P319" s="2"/>
      <c r="R319" s="3"/>
      <c r="S319" s="3"/>
    </row>
    <row r="320" ht="15.75" customHeight="1">
      <c r="P320" s="2"/>
      <c r="R320" s="3"/>
      <c r="S320" s="3"/>
    </row>
    <row r="321" ht="15.75" customHeight="1">
      <c r="P321" s="2"/>
      <c r="R321" s="3"/>
      <c r="S321" s="3"/>
    </row>
    <row r="322" ht="15.75" customHeight="1">
      <c r="P322" s="2"/>
      <c r="R322" s="3"/>
      <c r="S322" s="3"/>
    </row>
    <row r="323" ht="15.75" customHeight="1">
      <c r="P323" s="2"/>
      <c r="R323" s="3"/>
      <c r="S323" s="3"/>
    </row>
    <row r="324" ht="15.75" customHeight="1">
      <c r="P324" s="2"/>
      <c r="R324" s="3"/>
      <c r="S324" s="3"/>
    </row>
    <row r="325" ht="15.75" customHeight="1">
      <c r="P325" s="2"/>
      <c r="R325" s="3"/>
      <c r="S325" s="3"/>
    </row>
    <row r="326" ht="15.75" customHeight="1">
      <c r="P326" s="2"/>
      <c r="R326" s="3"/>
      <c r="S326" s="3"/>
    </row>
    <row r="327" ht="15.75" customHeight="1">
      <c r="P327" s="2"/>
      <c r="R327" s="3"/>
      <c r="S327" s="3"/>
    </row>
    <row r="328" ht="15.75" customHeight="1">
      <c r="P328" s="2"/>
      <c r="R328" s="3"/>
      <c r="S328" s="3"/>
    </row>
    <row r="329" ht="15.75" customHeight="1">
      <c r="P329" s="2"/>
      <c r="R329" s="3"/>
      <c r="S329" s="3"/>
    </row>
    <row r="330" ht="15.75" customHeight="1">
      <c r="P330" s="2"/>
      <c r="R330" s="3"/>
      <c r="S330" s="3"/>
    </row>
    <row r="331" ht="15.75" customHeight="1">
      <c r="P331" s="2"/>
      <c r="R331" s="3"/>
      <c r="S331" s="3"/>
    </row>
    <row r="332" ht="15.75" customHeight="1">
      <c r="P332" s="2"/>
      <c r="R332" s="3"/>
      <c r="S332" s="3"/>
    </row>
    <row r="333" ht="15.75" customHeight="1">
      <c r="P333" s="2"/>
      <c r="R333" s="3"/>
      <c r="S333" s="3"/>
    </row>
    <row r="334" ht="15.75" customHeight="1">
      <c r="P334" s="2"/>
      <c r="R334" s="3"/>
      <c r="S334" s="3"/>
    </row>
    <row r="335" ht="15.75" customHeight="1">
      <c r="P335" s="2"/>
      <c r="R335" s="3"/>
      <c r="S335" s="3"/>
    </row>
    <row r="336" ht="15.75" customHeight="1">
      <c r="P336" s="2"/>
      <c r="R336" s="3"/>
      <c r="S336" s="3"/>
    </row>
    <row r="337" ht="15.75" customHeight="1">
      <c r="P337" s="2"/>
      <c r="R337" s="3"/>
      <c r="S337" s="3"/>
    </row>
    <row r="338" ht="15.75" customHeight="1">
      <c r="P338" s="2"/>
      <c r="R338" s="3"/>
      <c r="S338" s="3"/>
    </row>
    <row r="339" ht="15.75" customHeight="1">
      <c r="P339" s="2"/>
      <c r="R339" s="3"/>
      <c r="S339" s="3"/>
    </row>
    <row r="340" ht="15.75" customHeight="1">
      <c r="P340" s="2"/>
      <c r="R340" s="3"/>
      <c r="S340" s="3"/>
    </row>
    <row r="341" ht="15.75" customHeight="1">
      <c r="P341" s="2"/>
      <c r="R341" s="3"/>
      <c r="S341" s="3"/>
    </row>
    <row r="342" ht="15.75" customHeight="1">
      <c r="P342" s="2"/>
      <c r="R342" s="3"/>
      <c r="S342" s="3"/>
    </row>
    <row r="343" ht="15.75" customHeight="1">
      <c r="P343" s="2"/>
      <c r="R343" s="3"/>
      <c r="S343" s="3"/>
    </row>
    <row r="344" ht="15.75" customHeight="1">
      <c r="P344" s="2"/>
      <c r="R344" s="3"/>
      <c r="S344" s="3"/>
    </row>
    <row r="345" ht="15.75" customHeight="1">
      <c r="P345" s="2"/>
      <c r="R345" s="3"/>
      <c r="S345" s="3"/>
    </row>
    <row r="346" ht="15.75" customHeight="1">
      <c r="P346" s="2"/>
      <c r="R346" s="3"/>
      <c r="S346" s="3"/>
    </row>
    <row r="347" ht="15.75" customHeight="1">
      <c r="P347" s="2"/>
      <c r="R347" s="3"/>
      <c r="S347" s="3"/>
    </row>
    <row r="348" ht="15.75" customHeight="1">
      <c r="P348" s="2"/>
      <c r="R348" s="3"/>
      <c r="S348" s="3"/>
    </row>
    <row r="349" ht="15.75" customHeight="1">
      <c r="P349" s="2"/>
      <c r="R349" s="3"/>
      <c r="S349" s="3"/>
    </row>
    <row r="350" ht="15.75" customHeight="1">
      <c r="P350" s="2"/>
      <c r="R350" s="3"/>
      <c r="S350" s="3"/>
    </row>
    <row r="351" ht="15.75" customHeight="1">
      <c r="P351" s="2"/>
      <c r="R351" s="3"/>
      <c r="S351" s="3"/>
    </row>
    <row r="352" ht="15.75" customHeight="1">
      <c r="P352" s="2"/>
      <c r="R352" s="3"/>
      <c r="S352" s="3"/>
    </row>
    <row r="353" ht="15.75" customHeight="1">
      <c r="P353" s="2"/>
      <c r="R353" s="3"/>
      <c r="S353" s="3"/>
    </row>
    <row r="354" ht="15.75" customHeight="1">
      <c r="P354" s="2"/>
      <c r="R354" s="3"/>
      <c r="S354" s="3"/>
    </row>
    <row r="355" ht="15.75" customHeight="1">
      <c r="P355" s="2"/>
      <c r="R355" s="3"/>
      <c r="S355" s="3"/>
    </row>
    <row r="356" ht="15.75" customHeight="1">
      <c r="P356" s="2"/>
      <c r="R356" s="3"/>
      <c r="S356" s="3"/>
    </row>
    <row r="357" ht="15.75" customHeight="1">
      <c r="P357" s="2"/>
      <c r="R357" s="3"/>
      <c r="S357" s="3"/>
    </row>
    <row r="358" ht="15.75" customHeight="1">
      <c r="P358" s="2"/>
      <c r="R358" s="3"/>
      <c r="S358" s="3"/>
    </row>
    <row r="359" ht="15.75" customHeight="1">
      <c r="P359" s="2"/>
      <c r="R359" s="3"/>
      <c r="S359" s="3"/>
    </row>
    <row r="360" ht="15.75" customHeight="1">
      <c r="P360" s="2"/>
      <c r="R360" s="3"/>
      <c r="S360" s="3"/>
    </row>
    <row r="361" ht="15.75" customHeight="1">
      <c r="P361" s="2"/>
      <c r="R361" s="3"/>
      <c r="S361" s="3"/>
    </row>
    <row r="362" ht="15.75" customHeight="1">
      <c r="P362" s="2"/>
      <c r="R362" s="3"/>
      <c r="S362" s="3"/>
    </row>
    <row r="363" ht="15.75" customHeight="1">
      <c r="P363" s="2"/>
      <c r="R363" s="3"/>
      <c r="S363" s="3"/>
    </row>
    <row r="364" ht="15.75" customHeight="1">
      <c r="P364" s="2"/>
      <c r="R364" s="3"/>
      <c r="S364" s="3"/>
    </row>
    <row r="365" ht="15.75" customHeight="1">
      <c r="P365" s="2"/>
      <c r="R365" s="3"/>
      <c r="S365" s="3"/>
    </row>
    <row r="366" ht="15.75" customHeight="1">
      <c r="P366" s="2"/>
      <c r="R366" s="3"/>
      <c r="S366" s="3"/>
    </row>
    <row r="367" ht="15.75" customHeight="1">
      <c r="P367" s="2"/>
      <c r="R367" s="3"/>
      <c r="S367" s="3"/>
    </row>
    <row r="368" ht="15.75" customHeight="1">
      <c r="P368" s="2"/>
      <c r="R368" s="3"/>
      <c r="S368" s="3"/>
    </row>
    <row r="369" ht="15.75" customHeight="1">
      <c r="P369" s="2"/>
      <c r="R369" s="3"/>
      <c r="S369" s="3"/>
    </row>
    <row r="370" ht="15.75" customHeight="1">
      <c r="P370" s="2"/>
      <c r="R370" s="3"/>
      <c r="S370" s="3"/>
    </row>
    <row r="371" ht="15.75" customHeight="1">
      <c r="P371" s="2"/>
      <c r="R371" s="3"/>
      <c r="S371" s="3"/>
    </row>
    <row r="372" ht="15.75" customHeight="1">
      <c r="P372" s="2"/>
      <c r="R372" s="3"/>
      <c r="S372" s="3"/>
    </row>
    <row r="373" ht="15.75" customHeight="1">
      <c r="P373" s="2"/>
      <c r="R373" s="3"/>
      <c r="S373" s="3"/>
    </row>
    <row r="374" ht="15.75" customHeight="1">
      <c r="P374" s="2"/>
      <c r="R374" s="3"/>
      <c r="S374" s="3"/>
    </row>
    <row r="375" ht="15.75" customHeight="1">
      <c r="P375" s="2"/>
      <c r="R375" s="3"/>
      <c r="S375" s="3"/>
    </row>
    <row r="376" ht="15.75" customHeight="1">
      <c r="P376" s="2"/>
      <c r="R376" s="3"/>
      <c r="S376" s="3"/>
    </row>
    <row r="377" ht="15.75" customHeight="1">
      <c r="P377" s="2"/>
      <c r="R377" s="3"/>
      <c r="S377" s="3"/>
    </row>
    <row r="378" ht="15.75" customHeight="1">
      <c r="P378" s="2"/>
      <c r="R378" s="3"/>
      <c r="S378" s="3"/>
    </row>
    <row r="379" ht="15.75" customHeight="1">
      <c r="P379" s="2"/>
      <c r="R379" s="3"/>
      <c r="S379" s="3"/>
    </row>
    <row r="380" ht="15.75" customHeight="1">
      <c r="P380" s="2"/>
      <c r="R380" s="3"/>
      <c r="S380" s="3"/>
    </row>
    <row r="381" ht="15.75" customHeight="1">
      <c r="P381" s="2"/>
      <c r="R381" s="3"/>
      <c r="S381" s="3"/>
    </row>
    <row r="382" ht="15.75" customHeight="1">
      <c r="P382" s="2"/>
      <c r="R382" s="3"/>
      <c r="S382" s="3"/>
    </row>
    <row r="383" ht="15.75" customHeight="1">
      <c r="P383" s="2"/>
      <c r="R383" s="3"/>
      <c r="S383" s="3"/>
    </row>
    <row r="384" ht="15.75" customHeight="1">
      <c r="P384" s="2"/>
      <c r="R384" s="3"/>
      <c r="S384" s="3"/>
    </row>
    <row r="385" ht="15.75" customHeight="1">
      <c r="P385" s="2"/>
      <c r="R385" s="3"/>
      <c r="S385" s="3"/>
    </row>
    <row r="386" ht="15.75" customHeight="1">
      <c r="P386" s="2"/>
      <c r="R386" s="3"/>
      <c r="S386" s="3"/>
    </row>
    <row r="387" ht="15.75" customHeight="1">
      <c r="P387" s="2"/>
      <c r="R387" s="3"/>
      <c r="S387" s="3"/>
    </row>
    <row r="388" ht="15.75" customHeight="1">
      <c r="P388" s="2"/>
      <c r="R388" s="3"/>
      <c r="S388" s="3"/>
    </row>
    <row r="389" ht="15.75" customHeight="1">
      <c r="P389" s="2"/>
      <c r="R389" s="3"/>
      <c r="S389" s="3"/>
    </row>
    <row r="390" ht="15.75" customHeight="1">
      <c r="P390" s="2"/>
      <c r="R390" s="3"/>
      <c r="S390" s="3"/>
    </row>
    <row r="391" ht="15.75" customHeight="1">
      <c r="P391" s="2"/>
      <c r="R391" s="3"/>
      <c r="S391" s="3"/>
    </row>
    <row r="392" ht="15.75" customHeight="1">
      <c r="P392" s="2"/>
      <c r="R392" s="3"/>
      <c r="S392" s="3"/>
    </row>
    <row r="393" ht="15.75" customHeight="1">
      <c r="P393" s="2"/>
      <c r="R393" s="3"/>
      <c r="S393" s="3"/>
    </row>
    <row r="394" ht="15.75" customHeight="1">
      <c r="P394" s="2"/>
      <c r="R394" s="3"/>
      <c r="S394" s="3"/>
    </row>
    <row r="395" ht="15.75" customHeight="1">
      <c r="P395" s="2"/>
      <c r="R395" s="3"/>
      <c r="S395" s="3"/>
    </row>
    <row r="396" ht="15.75" customHeight="1">
      <c r="P396" s="2"/>
      <c r="R396" s="3"/>
      <c r="S396" s="3"/>
    </row>
    <row r="397" ht="15.75" customHeight="1">
      <c r="P397" s="2"/>
      <c r="R397" s="3"/>
      <c r="S397" s="3"/>
    </row>
    <row r="398" ht="15.75" customHeight="1">
      <c r="P398" s="2"/>
      <c r="R398" s="3"/>
      <c r="S398" s="3"/>
    </row>
    <row r="399" ht="15.75" customHeight="1">
      <c r="P399" s="2"/>
      <c r="R399" s="3"/>
      <c r="S399" s="3"/>
    </row>
    <row r="400" ht="15.75" customHeight="1">
      <c r="P400" s="2"/>
      <c r="R400" s="3"/>
      <c r="S400" s="3"/>
    </row>
    <row r="401" ht="15.75" customHeight="1">
      <c r="P401" s="2"/>
      <c r="R401" s="3"/>
      <c r="S401" s="3"/>
    </row>
    <row r="402" ht="15.75" customHeight="1">
      <c r="P402" s="2"/>
      <c r="R402" s="3"/>
      <c r="S402" s="3"/>
    </row>
    <row r="403" ht="15.75" customHeight="1">
      <c r="P403" s="2"/>
      <c r="R403" s="3"/>
      <c r="S403" s="3"/>
    </row>
    <row r="404" ht="15.75" customHeight="1">
      <c r="P404" s="2"/>
      <c r="R404" s="3"/>
      <c r="S404" s="3"/>
    </row>
    <row r="405" ht="15.75" customHeight="1">
      <c r="P405" s="2"/>
      <c r="R405" s="3"/>
      <c r="S405" s="3"/>
    </row>
    <row r="406" ht="15.75" customHeight="1">
      <c r="P406" s="2"/>
      <c r="R406" s="3"/>
      <c r="S406" s="3"/>
    </row>
    <row r="407" ht="15.75" customHeight="1">
      <c r="P407" s="2"/>
      <c r="R407" s="3"/>
      <c r="S407" s="3"/>
    </row>
    <row r="408" ht="15.75" customHeight="1">
      <c r="P408" s="2"/>
      <c r="R408" s="3"/>
      <c r="S408" s="3"/>
    </row>
    <row r="409" ht="15.75" customHeight="1">
      <c r="P409" s="2"/>
      <c r="R409" s="3"/>
      <c r="S409" s="3"/>
    </row>
    <row r="410" ht="15.75" customHeight="1">
      <c r="P410" s="2"/>
      <c r="R410" s="3"/>
      <c r="S410" s="3"/>
    </row>
    <row r="411" ht="15.75" customHeight="1">
      <c r="P411" s="2"/>
      <c r="R411" s="3"/>
      <c r="S411" s="3"/>
    </row>
    <row r="412" ht="15.75" customHeight="1">
      <c r="P412" s="2"/>
      <c r="R412" s="3"/>
      <c r="S412" s="3"/>
    </row>
    <row r="413" ht="15.75" customHeight="1">
      <c r="P413" s="2"/>
      <c r="R413" s="3"/>
      <c r="S413" s="3"/>
    </row>
    <row r="414" ht="15.75" customHeight="1">
      <c r="P414" s="2"/>
      <c r="R414" s="3"/>
      <c r="S414" s="3"/>
    </row>
    <row r="415" ht="15.75" customHeight="1">
      <c r="P415" s="2"/>
      <c r="R415" s="3"/>
      <c r="S415" s="3"/>
    </row>
    <row r="416" ht="15.75" customHeight="1">
      <c r="P416" s="2"/>
      <c r="R416" s="3"/>
      <c r="S416" s="3"/>
    </row>
    <row r="417" ht="15.75" customHeight="1">
      <c r="P417" s="2"/>
      <c r="R417" s="3"/>
      <c r="S417" s="3"/>
    </row>
    <row r="418" ht="15.75" customHeight="1">
      <c r="P418" s="2"/>
      <c r="R418" s="3"/>
      <c r="S418" s="3"/>
    </row>
    <row r="419" ht="15.75" customHeight="1">
      <c r="P419" s="2"/>
      <c r="R419" s="3"/>
      <c r="S419" s="3"/>
    </row>
    <row r="420" ht="15.75" customHeight="1">
      <c r="P420" s="2"/>
      <c r="R420" s="3"/>
      <c r="S420" s="3"/>
    </row>
    <row r="421" ht="15.75" customHeight="1">
      <c r="P421" s="2"/>
      <c r="R421" s="3"/>
      <c r="S421" s="3"/>
    </row>
    <row r="422" ht="15.75" customHeight="1">
      <c r="P422" s="2"/>
      <c r="R422" s="3"/>
      <c r="S422" s="3"/>
    </row>
    <row r="423" ht="15.75" customHeight="1">
      <c r="P423" s="2"/>
      <c r="R423" s="3"/>
      <c r="S423" s="3"/>
    </row>
    <row r="424" ht="15.75" customHeight="1">
      <c r="P424" s="2"/>
      <c r="R424" s="3"/>
      <c r="S424" s="3"/>
    </row>
    <row r="425" ht="15.75" customHeight="1">
      <c r="P425" s="2"/>
      <c r="R425" s="3"/>
      <c r="S425" s="3"/>
    </row>
    <row r="426" ht="15.75" customHeight="1">
      <c r="P426" s="2"/>
      <c r="R426" s="3"/>
      <c r="S426" s="3"/>
    </row>
    <row r="427" ht="15.75" customHeight="1">
      <c r="P427" s="2"/>
      <c r="R427" s="3"/>
      <c r="S427" s="3"/>
    </row>
    <row r="428" ht="15.75" customHeight="1">
      <c r="P428" s="2"/>
      <c r="R428" s="3"/>
      <c r="S428" s="3"/>
    </row>
    <row r="429" ht="15.75" customHeight="1">
      <c r="P429" s="2"/>
      <c r="R429" s="3"/>
      <c r="S429" s="3"/>
    </row>
    <row r="430" ht="15.75" customHeight="1">
      <c r="P430" s="2"/>
      <c r="R430" s="3"/>
      <c r="S430" s="3"/>
    </row>
    <row r="431" ht="15.75" customHeight="1">
      <c r="P431" s="2"/>
      <c r="R431" s="3"/>
      <c r="S431" s="3"/>
    </row>
    <row r="432" ht="15.75" customHeight="1">
      <c r="P432" s="2"/>
      <c r="R432" s="3"/>
      <c r="S432" s="3"/>
    </row>
    <row r="433" ht="15.75" customHeight="1">
      <c r="P433" s="2"/>
      <c r="R433" s="3"/>
      <c r="S433" s="3"/>
    </row>
    <row r="434" ht="15.75" customHeight="1">
      <c r="P434" s="2"/>
      <c r="R434" s="3"/>
      <c r="S434" s="3"/>
    </row>
    <row r="435" ht="15.75" customHeight="1">
      <c r="P435" s="2"/>
      <c r="R435" s="3"/>
      <c r="S435" s="3"/>
    </row>
    <row r="436" ht="15.75" customHeight="1">
      <c r="P436" s="2"/>
      <c r="R436" s="3"/>
      <c r="S436" s="3"/>
    </row>
    <row r="437" ht="15.75" customHeight="1">
      <c r="P437" s="2"/>
      <c r="R437" s="3"/>
      <c r="S437" s="3"/>
    </row>
    <row r="438" ht="15.75" customHeight="1">
      <c r="P438" s="2"/>
      <c r="R438" s="3"/>
      <c r="S438" s="3"/>
    </row>
    <row r="439" ht="15.75" customHeight="1">
      <c r="P439" s="2"/>
      <c r="R439" s="3"/>
      <c r="S439" s="3"/>
    </row>
    <row r="440" ht="15.75" customHeight="1">
      <c r="P440" s="2"/>
      <c r="R440" s="3"/>
      <c r="S440" s="3"/>
    </row>
    <row r="441" ht="15.75" customHeight="1">
      <c r="P441" s="2"/>
      <c r="R441" s="3"/>
      <c r="S441" s="3"/>
    </row>
    <row r="442" ht="15.75" customHeight="1">
      <c r="P442" s="2"/>
      <c r="R442" s="3"/>
      <c r="S442" s="3"/>
    </row>
    <row r="443" ht="15.75" customHeight="1">
      <c r="P443" s="2"/>
      <c r="R443" s="3"/>
      <c r="S443" s="3"/>
    </row>
    <row r="444" ht="15.75" customHeight="1">
      <c r="P444" s="2"/>
      <c r="R444" s="3"/>
      <c r="S444" s="3"/>
    </row>
    <row r="445" ht="15.75" customHeight="1">
      <c r="P445" s="2"/>
      <c r="R445" s="3"/>
      <c r="S445" s="3"/>
    </row>
    <row r="446" ht="15.75" customHeight="1">
      <c r="P446" s="2"/>
      <c r="R446" s="3"/>
      <c r="S446" s="3"/>
    </row>
    <row r="447" ht="15.75" customHeight="1">
      <c r="P447" s="2"/>
      <c r="R447" s="3"/>
      <c r="S447" s="3"/>
    </row>
    <row r="448" ht="15.75" customHeight="1">
      <c r="P448" s="2"/>
      <c r="R448" s="3"/>
      <c r="S448" s="3"/>
    </row>
    <row r="449" ht="15.75" customHeight="1">
      <c r="P449" s="2"/>
      <c r="R449" s="3"/>
      <c r="S449" s="3"/>
    </row>
    <row r="450" ht="15.75" customHeight="1">
      <c r="P450" s="2"/>
      <c r="R450" s="3"/>
      <c r="S450" s="3"/>
    </row>
    <row r="451" ht="15.75" customHeight="1">
      <c r="P451" s="2"/>
      <c r="R451" s="3"/>
      <c r="S451" s="3"/>
    </row>
    <row r="452" ht="15.75" customHeight="1">
      <c r="P452" s="2"/>
      <c r="R452" s="3"/>
      <c r="S452" s="3"/>
    </row>
    <row r="453" ht="15.75" customHeight="1">
      <c r="P453" s="2"/>
      <c r="R453" s="3"/>
      <c r="S453" s="3"/>
    </row>
    <row r="454" ht="15.75" customHeight="1">
      <c r="P454" s="2"/>
      <c r="R454" s="3"/>
      <c r="S454" s="3"/>
    </row>
    <row r="455" ht="15.75" customHeight="1">
      <c r="P455" s="2"/>
      <c r="R455" s="3"/>
      <c r="S455" s="3"/>
    </row>
    <row r="456" ht="15.75" customHeight="1">
      <c r="P456" s="2"/>
      <c r="R456" s="3"/>
      <c r="S456" s="3"/>
    </row>
    <row r="457" ht="15.75" customHeight="1">
      <c r="P457" s="2"/>
      <c r="R457" s="3"/>
      <c r="S457" s="3"/>
    </row>
    <row r="458" ht="15.75" customHeight="1">
      <c r="P458" s="2"/>
      <c r="R458" s="3"/>
      <c r="S458" s="3"/>
    </row>
    <row r="459" ht="15.75" customHeight="1">
      <c r="P459" s="2"/>
      <c r="R459" s="3"/>
      <c r="S459" s="3"/>
    </row>
    <row r="460" ht="15.75" customHeight="1">
      <c r="P460" s="2"/>
      <c r="R460" s="3"/>
      <c r="S460" s="3"/>
    </row>
    <row r="461" ht="15.75" customHeight="1">
      <c r="P461" s="2"/>
      <c r="R461" s="3"/>
      <c r="S461" s="3"/>
    </row>
    <row r="462" ht="15.75" customHeight="1">
      <c r="P462" s="2"/>
      <c r="R462" s="3"/>
      <c r="S462" s="3"/>
    </row>
    <row r="463" ht="15.75" customHeight="1">
      <c r="P463" s="2"/>
      <c r="R463" s="3"/>
      <c r="S463" s="3"/>
    </row>
    <row r="464" ht="15.75" customHeight="1">
      <c r="P464" s="2"/>
      <c r="R464" s="3"/>
      <c r="S464" s="3"/>
    </row>
    <row r="465" ht="15.75" customHeight="1">
      <c r="P465" s="2"/>
      <c r="R465" s="3"/>
      <c r="S465" s="3"/>
    </row>
    <row r="466" ht="15.75" customHeight="1">
      <c r="P466" s="2"/>
      <c r="R466" s="3"/>
      <c r="S466" s="3"/>
    </row>
    <row r="467" ht="15.75" customHeight="1">
      <c r="P467" s="2"/>
      <c r="R467" s="3"/>
      <c r="S467" s="3"/>
    </row>
    <row r="468" ht="15.75" customHeight="1">
      <c r="P468" s="2"/>
      <c r="R468" s="3"/>
      <c r="S468" s="3"/>
    </row>
    <row r="469" ht="15.75" customHeight="1">
      <c r="P469" s="2"/>
      <c r="R469" s="3"/>
      <c r="S469" s="3"/>
    </row>
    <row r="470" ht="15.75" customHeight="1">
      <c r="P470" s="2"/>
      <c r="R470" s="3"/>
      <c r="S470" s="3"/>
    </row>
    <row r="471" ht="15.75" customHeight="1">
      <c r="P471" s="2"/>
      <c r="R471" s="3"/>
      <c r="S471" s="3"/>
    </row>
    <row r="472" ht="15.75" customHeight="1">
      <c r="P472" s="2"/>
      <c r="R472" s="3"/>
      <c r="S472" s="3"/>
    </row>
    <row r="473" ht="15.75" customHeight="1">
      <c r="P473" s="2"/>
      <c r="R473" s="3"/>
      <c r="S473" s="3"/>
    </row>
    <row r="474" ht="15.75" customHeight="1">
      <c r="P474" s="2"/>
      <c r="R474" s="3"/>
      <c r="S474" s="3"/>
    </row>
    <row r="475" ht="15.75" customHeight="1">
      <c r="P475" s="2"/>
      <c r="R475" s="3"/>
      <c r="S475" s="3"/>
    </row>
    <row r="476" ht="15.75" customHeight="1">
      <c r="P476" s="2"/>
      <c r="R476" s="3"/>
      <c r="S476" s="3"/>
    </row>
    <row r="477" ht="15.75" customHeight="1">
      <c r="P477" s="2"/>
      <c r="R477" s="3"/>
      <c r="S477" s="3"/>
    </row>
    <row r="478" ht="15.75" customHeight="1">
      <c r="P478" s="2"/>
      <c r="R478" s="3"/>
      <c r="S478" s="3"/>
    </row>
    <row r="479" ht="15.75" customHeight="1">
      <c r="P479" s="2"/>
      <c r="R479" s="3"/>
      <c r="S479" s="3"/>
    </row>
    <row r="480" ht="15.75" customHeight="1">
      <c r="P480" s="2"/>
      <c r="R480" s="3"/>
      <c r="S480" s="3"/>
    </row>
    <row r="481" ht="15.75" customHeight="1">
      <c r="P481" s="2"/>
      <c r="R481" s="3"/>
      <c r="S481" s="3"/>
    </row>
    <row r="482" ht="15.75" customHeight="1">
      <c r="P482" s="2"/>
      <c r="R482" s="3"/>
      <c r="S482" s="3"/>
    </row>
    <row r="483" ht="15.75" customHeight="1">
      <c r="P483" s="2"/>
      <c r="R483" s="3"/>
      <c r="S483" s="3"/>
    </row>
    <row r="484" ht="15.75" customHeight="1">
      <c r="P484" s="2"/>
      <c r="R484" s="3"/>
      <c r="S484" s="3"/>
    </row>
    <row r="485" ht="15.75" customHeight="1">
      <c r="P485" s="2"/>
      <c r="R485" s="3"/>
      <c r="S485" s="3"/>
    </row>
    <row r="486" ht="15.75" customHeight="1">
      <c r="P486" s="2"/>
      <c r="R486" s="3"/>
      <c r="S486" s="3"/>
    </row>
    <row r="487" ht="15.75" customHeight="1">
      <c r="P487" s="2"/>
      <c r="R487" s="3"/>
      <c r="S487" s="3"/>
    </row>
    <row r="488" ht="15.75" customHeight="1">
      <c r="P488" s="2"/>
      <c r="R488" s="3"/>
      <c r="S488" s="3"/>
    </row>
    <row r="489" ht="15.75" customHeight="1">
      <c r="P489" s="2"/>
      <c r="R489" s="3"/>
      <c r="S489" s="3"/>
    </row>
    <row r="490" ht="15.75" customHeight="1">
      <c r="P490" s="2"/>
      <c r="R490" s="3"/>
      <c r="S490" s="3"/>
    </row>
    <row r="491" ht="15.75" customHeight="1">
      <c r="P491" s="2"/>
      <c r="R491" s="3"/>
      <c r="S491" s="3"/>
    </row>
    <row r="492" ht="15.75" customHeight="1">
      <c r="P492" s="2"/>
      <c r="R492" s="3"/>
      <c r="S492" s="3"/>
    </row>
    <row r="493" ht="15.75" customHeight="1">
      <c r="P493" s="2"/>
      <c r="R493" s="3"/>
      <c r="S493" s="3"/>
    </row>
    <row r="494" ht="15.75" customHeight="1">
      <c r="P494" s="2"/>
      <c r="R494" s="3"/>
      <c r="S494" s="3"/>
    </row>
    <row r="495" ht="15.75" customHeight="1">
      <c r="P495" s="2"/>
      <c r="R495" s="3"/>
      <c r="S495" s="3"/>
    </row>
    <row r="496" ht="15.75" customHeight="1">
      <c r="P496" s="2"/>
      <c r="R496" s="3"/>
      <c r="S496" s="3"/>
    </row>
    <row r="497" ht="15.75" customHeight="1">
      <c r="P497" s="2"/>
      <c r="R497" s="3"/>
      <c r="S497" s="3"/>
    </row>
    <row r="498" ht="15.75" customHeight="1">
      <c r="P498" s="2"/>
      <c r="R498" s="3"/>
      <c r="S498" s="3"/>
    </row>
    <row r="499" ht="15.75" customHeight="1">
      <c r="P499" s="2"/>
      <c r="R499" s="3"/>
      <c r="S499" s="3"/>
    </row>
    <row r="500" ht="15.75" customHeight="1">
      <c r="P500" s="2"/>
      <c r="R500" s="3"/>
      <c r="S500" s="3"/>
    </row>
    <row r="501" ht="15.75" customHeight="1">
      <c r="P501" s="2"/>
      <c r="R501" s="3"/>
      <c r="S501" s="3"/>
    </row>
    <row r="502" ht="15.75" customHeight="1">
      <c r="P502" s="2"/>
      <c r="R502" s="3"/>
      <c r="S502" s="3"/>
    </row>
    <row r="503" ht="15.75" customHeight="1">
      <c r="P503" s="2"/>
      <c r="R503" s="3"/>
      <c r="S503" s="3"/>
    </row>
    <row r="504" ht="15.75" customHeight="1">
      <c r="P504" s="2"/>
      <c r="R504" s="3"/>
      <c r="S504" s="3"/>
    </row>
    <row r="505" ht="15.75" customHeight="1">
      <c r="P505" s="2"/>
      <c r="R505" s="3"/>
      <c r="S505" s="3"/>
    </row>
    <row r="506" ht="15.75" customHeight="1">
      <c r="P506" s="2"/>
      <c r="R506" s="3"/>
      <c r="S506" s="3"/>
    </row>
    <row r="507" ht="15.75" customHeight="1">
      <c r="P507" s="2"/>
      <c r="R507" s="3"/>
      <c r="S507" s="3"/>
    </row>
    <row r="508" ht="15.75" customHeight="1">
      <c r="P508" s="2"/>
      <c r="R508" s="3"/>
      <c r="S508" s="3"/>
    </row>
    <row r="509" ht="15.75" customHeight="1">
      <c r="P509" s="2"/>
      <c r="R509" s="3"/>
      <c r="S509" s="3"/>
    </row>
    <row r="510" ht="15.75" customHeight="1">
      <c r="P510" s="2"/>
      <c r="R510" s="3"/>
      <c r="S510" s="3"/>
    </row>
    <row r="511" ht="15.75" customHeight="1">
      <c r="P511" s="2"/>
      <c r="R511" s="3"/>
      <c r="S511" s="3"/>
    </row>
    <row r="512" ht="15.75" customHeight="1">
      <c r="P512" s="2"/>
      <c r="R512" s="3"/>
      <c r="S512" s="3"/>
    </row>
    <row r="513" ht="15.75" customHeight="1">
      <c r="P513" s="2"/>
      <c r="R513" s="3"/>
      <c r="S513" s="3"/>
    </row>
    <row r="514" ht="15.75" customHeight="1">
      <c r="P514" s="2"/>
      <c r="R514" s="3"/>
      <c r="S514" s="3"/>
    </row>
    <row r="515" ht="15.75" customHeight="1">
      <c r="P515" s="2"/>
      <c r="R515" s="3"/>
      <c r="S515" s="3"/>
    </row>
    <row r="516" ht="15.75" customHeight="1">
      <c r="P516" s="2"/>
      <c r="R516" s="3"/>
      <c r="S516" s="3"/>
    </row>
    <row r="517" ht="15.75" customHeight="1">
      <c r="P517" s="2"/>
      <c r="R517" s="3"/>
      <c r="S517" s="3"/>
    </row>
    <row r="518" ht="15.75" customHeight="1">
      <c r="P518" s="2"/>
      <c r="R518" s="3"/>
      <c r="S518" s="3"/>
    </row>
    <row r="519" ht="15.75" customHeight="1">
      <c r="P519" s="2"/>
      <c r="R519" s="3"/>
      <c r="S519" s="3"/>
    </row>
    <row r="520" ht="15.75" customHeight="1">
      <c r="P520" s="2"/>
      <c r="R520" s="3"/>
      <c r="S520" s="3"/>
    </row>
    <row r="521" ht="15.75" customHeight="1">
      <c r="P521" s="2"/>
      <c r="R521" s="3"/>
      <c r="S521" s="3"/>
    </row>
    <row r="522" ht="15.75" customHeight="1">
      <c r="P522" s="2"/>
      <c r="R522" s="3"/>
      <c r="S522" s="3"/>
    </row>
    <row r="523" ht="15.75" customHeight="1">
      <c r="P523" s="2"/>
      <c r="R523" s="3"/>
      <c r="S523" s="3"/>
    </row>
    <row r="524" ht="15.75" customHeight="1">
      <c r="P524" s="2"/>
      <c r="R524" s="3"/>
      <c r="S524" s="3"/>
    </row>
    <row r="525" ht="15.75" customHeight="1">
      <c r="P525" s="2"/>
      <c r="R525" s="3"/>
      <c r="S525" s="3"/>
    </row>
    <row r="526" ht="15.75" customHeight="1">
      <c r="P526" s="2"/>
      <c r="R526" s="3"/>
      <c r="S526" s="3"/>
    </row>
    <row r="527" ht="15.75" customHeight="1">
      <c r="P527" s="2"/>
      <c r="R527" s="3"/>
      <c r="S527" s="3"/>
    </row>
    <row r="528" ht="15.75" customHeight="1">
      <c r="P528" s="2"/>
      <c r="R528" s="3"/>
      <c r="S528" s="3"/>
    </row>
    <row r="529" ht="15.75" customHeight="1">
      <c r="P529" s="2"/>
      <c r="R529" s="3"/>
      <c r="S529" s="3"/>
    </row>
    <row r="530" ht="15.75" customHeight="1">
      <c r="P530" s="2"/>
      <c r="R530" s="3"/>
      <c r="S530" s="3"/>
    </row>
    <row r="531" ht="15.75" customHeight="1">
      <c r="P531" s="2"/>
      <c r="R531" s="3"/>
      <c r="S531" s="3"/>
    </row>
    <row r="532" ht="15.75" customHeight="1">
      <c r="P532" s="2"/>
      <c r="R532" s="3"/>
      <c r="S532" s="3"/>
    </row>
    <row r="533" ht="15.75" customHeight="1">
      <c r="P533" s="2"/>
      <c r="R533" s="3"/>
      <c r="S533" s="3"/>
    </row>
    <row r="534" ht="15.75" customHeight="1">
      <c r="P534" s="2"/>
      <c r="R534" s="3"/>
      <c r="S534" s="3"/>
    </row>
    <row r="535" ht="15.75" customHeight="1">
      <c r="P535" s="2"/>
      <c r="R535" s="3"/>
      <c r="S535" s="3"/>
    </row>
    <row r="536" ht="15.75" customHeight="1">
      <c r="P536" s="2"/>
      <c r="R536" s="3"/>
      <c r="S536" s="3"/>
    </row>
    <row r="537" ht="15.75" customHeight="1">
      <c r="P537" s="2"/>
      <c r="R537" s="3"/>
      <c r="S537" s="3"/>
    </row>
    <row r="538" ht="15.75" customHeight="1">
      <c r="P538" s="2"/>
      <c r="R538" s="3"/>
      <c r="S538" s="3"/>
    </row>
    <row r="539" ht="15.75" customHeight="1">
      <c r="P539" s="2"/>
      <c r="R539" s="3"/>
      <c r="S539" s="3"/>
    </row>
    <row r="540" ht="15.75" customHeight="1">
      <c r="P540" s="2"/>
      <c r="R540" s="3"/>
      <c r="S540" s="3"/>
    </row>
    <row r="541" ht="15.75" customHeight="1">
      <c r="P541" s="2"/>
      <c r="R541" s="3"/>
      <c r="S541" s="3"/>
    </row>
    <row r="542" ht="15.75" customHeight="1">
      <c r="P542" s="2"/>
      <c r="R542" s="3"/>
      <c r="S542" s="3"/>
    </row>
    <row r="543" ht="15.75" customHeight="1">
      <c r="P543" s="2"/>
      <c r="R543" s="3"/>
      <c r="S543" s="3"/>
    </row>
    <row r="544" ht="15.75" customHeight="1">
      <c r="P544" s="2"/>
      <c r="R544" s="3"/>
      <c r="S544" s="3"/>
    </row>
    <row r="545" ht="15.75" customHeight="1">
      <c r="P545" s="2"/>
      <c r="R545" s="3"/>
      <c r="S545" s="3"/>
    </row>
    <row r="546" ht="15.75" customHeight="1">
      <c r="P546" s="2"/>
      <c r="R546" s="3"/>
      <c r="S546" s="3"/>
    </row>
    <row r="547" ht="15.75" customHeight="1">
      <c r="P547" s="2"/>
      <c r="R547" s="3"/>
      <c r="S547" s="3"/>
    </row>
    <row r="548" ht="15.75" customHeight="1">
      <c r="P548" s="2"/>
      <c r="R548" s="3"/>
      <c r="S548" s="3"/>
    </row>
    <row r="549" ht="15.75" customHeight="1">
      <c r="P549" s="2"/>
      <c r="R549" s="3"/>
      <c r="S549" s="3"/>
    </row>
    <row r="550" ht="15.75" customHeight="1">
      <c r="P550" s="2"/>
      <c r="R550" s="3"/>
      <c r="S550" s="3"/>
    </row>
    <row r="551" ht="15.75" customHeight="1">
      <c r="P551" s="2"/>
      <c r="R551" s="3"/>
      <c r="S551" s="3"/>
    </row>
    <row r="552" ht="15.75" customHeight="1">
      <c r="P552" s="2"/>
      <c r="R552" s="3"/>
      <c r="S552" s="3"/>
    </row>
    <row r="553" ht="15.75" customHeight="1">
      <c r="P553" s="2"/>
      <c r="R553" s="3"/>
      <c r="S553" s="3"/>
    </row>
    <row r="554" ht="15.75" customHeight="1">
      <c r="P554" s="2"/>
      <c r="R554" s="3"/>
      <c r="S554" s="3"/>
    </row>
    <row r="555" ht="15.75" customHeight="1">
      <c r="P555" s="2"/>
      <c r="R555" s="3"/>
      <c r="S555" s="3"/>
    </row>
    <row r="556" ht="15.75" customHeight="1">
      <c r="P556" s="2"/>
      <c r="R556" s="3"/>
      <c r="S556" s="3"/>
    </row>
    <row r="557" ht="15.75" customHeight="1">
      <c r="P557" s="2"/>
      <c r="R557" s="3"/>
      <c r="S557" s="3"/>
    </row>
    <row r="558" ht="15.75" customHeight="1">
      <c r="P558" s="2"/>
      <c r="R558" s="3"/>
      <c r="S558" s="3"/>
    </row>
    <row r="559" ht="15.75" customHeight="1">
      <c r="P559" s="2"/>
      <c r="R559" s="3"/>
      <c r="S559" s="3"/>
    </row>
    <row r="560" ht="15.75" customHeight="1">
      <c r="P560" s="2"/>
      <c r="R560" s="3"/>
      <c r="S560" s="3"/>
    </row>
    <row r="561" ht="15.75" customHeight="1">
      <c r="P561" s="2"/>
      <c r="R561" s="3"/>
      <c r="S561" s="3"/>
    </row>
    <row r="562" ht="15.75" customHeight="1">
      <c r="P562" s="2"/>
      <c r="R562" s="3"/>
      <c r="S562" s="3"/>
    </row>
    <row r="563" ht="15.75" customHeight="1">
      <c r="P563" s="2"/>
      <c r="R563" s="3"/>
      <c r="S563" s="3"/>
    </row>
    <row r="564" ht="15.75" customHeight="1">
      <c r="P564" s="2"/>
      <c r="R564" s="3"/>
      <c r="S564" s="3"/>
    </row>
    <row r="565" ht="15.75" customHeight="1">
      <c r="P565" s="2"/>
      <c r="R565" s="3"/>
      <c r="S565" s="3"/>
    </row>
    <row r="566" ht="15.75" customHeight="1">
      <c r="P566" s="2"/>
      <c r="R566" s="3"/>
      <c r="S566" s="3"/>
    </row>
    <row r="567" ht="15.75" customHeight="1">
      <c r="P567" s="2"/>
      <c r="R567" s="3"/>
      <c r="S567" s="3"/>
    </row>
    <row r="568" ht="15.75" customHeight="1">
      <c r="P568" s="2"/>
      <c r="R568" s="3"/>
      <c r="S568" s="3"/>
    </row>
    <row r="569" ht="15.75" customHeight="1">
      <c r="P569" s="2"/>
      <c r="R569" s="3"/>
      <c r="S569" s="3"/>
    </row>
    <row r="570" ht="15.75" customHeight="1">
      <c r="P570" s="2"/>
      <c r="R570" s="3"/>
      <c r="S570" s="3"/>
    </row>
    <row r="571" ht="15.75" customHeight="1">
      <c r="P571" s="2"/>
      <c r="R571" s="3"/>
      <c r="S571" s="3"/>
    </row>
    <row r="572" ht="15.75" customHeight="1">
      <c r="P572" s="2"/>
      <c r="R572" s="3"/>
      <c r="S572" s="3"/>
    </row>
    <row r="573" ht="15.75" customHeight="1">
      <c r="P573" s="2"/>
      <c r="R573" s="3"/>
      <c r="S573" s="3"/>
    </row>
    <row r="574" ht="15.75" customHeight="1">
      <c r="P574" s="2"/>
      <c r="R574" s="3"/>
      <c r="S574" s="3"/>
    </row>
    <row r="575" ht="15.75" customHeight="1">
      <c r="P575" s="2"/>
      <c r="R575" s="3"/>
      <c r="S575" s="3"/>
    </row>
    <row r="576" ht="15.75" customHeight="1">
      <c r="P576" s="2"/>
      <c r="R576" s="3"/>
      <c r="S576" s="3"/>
    </row>
    <row r="577" ht="15.75" customHeight="1">
      <c r="P577" s="2"/>
      <c r="R577" s="3"/>
      <c r="S577" s="3"/>
    </row>
    <row r="578" ht="15.75" customHeight="1">
      <c r="P578" s="2"/>
      <c r="R578" s="3"/>
      <c r="S578" s="3"/>
    </row>
    <row r="579" ht="15.75" customHeight="1">
      <c r="P579" s="2"/>
      <c r="R579" s="3"/>
      <c r="S579" s="3"/>
    </row>
    <row r="580" ht="15.75" customHeight="1">
      <c r="P580" s="2"/>
      <c r="R580" s="3"/>
      <c r="S580" s="3"/>
    </row>
    <row r="581" ht="15.75" customHeight="1">
      <c r="P581" s="2"/>
      <c r="R581" s="3"/>
      <c r="S581" s="3"/>
    </row>
    <row r="582" ht="15.75" customHeight="1">
      <c r="P582" s="2"/>
      <c r="R582" s="3"/>
      <c r="S582" s="3"/>
    </row>
    <row r="583" ht="15.75" customHeight="1">
      <c r="P583" s="2"/>
      <c r="R583" s="3"/>
      <c r="S583" s="3"/>
    </row>
    <row r="584" ht="15.75" customHeight="1">
      <c r="P584" s="2"/>
      <c r="R584" s="3"/>
      <c r="S584" s="3"/>
    </row>
    <row r="585" ht="15.75" customHeight="1">
      <c r="P585" s="2"/>
      <c r="R585" s="3"/>
      <c r="S585" s="3"/>
    </row>
    <row r="586" ht="15.75" customHeight="1">
      <c r="P586" s="2"/>
      <c r="R586" s="3"/>
      <c r="S586" s="3"/>
    </row>
    <row r="587" ht="15.75" customHeight="1">
      <c r="P587" s="2"/>
      <c r="R587" s="3"/>
      <c r="S587" s="3"/>
    </row>
    <row r="588" ht="15.75" customHeight="1">
      <c r="P588" s="2"/>
      <c r="R588" s="3"/>
      <c r="S588" s="3"/>
    </row>
    <row r="589" ht="15.75" customHeight="1">
      <c r="P589" s="2"/>
      <c r="R589" s="3"/>
      <c r="S589" s="3"/>
    </row>
    <row r="590" ht="15.75" customHeight="1">
      <c r="P590" s="2"/>
      <c r="R590" s="3"/>
      <c r="S590" s="3"/>
    </row>
    <row r="591" ht="15.75" customHeight="1">
      <c r="P591" s="2"/>
      <c r="R591" s="3"/>
      <c r="S591" s="3"/>
    </row>
    <row r="592" ht="15.75" customHeight="1">
      <c r="P592" s="2"/>
      <c r="R592" s="3"/>
      <c r="S592" s="3"/>
    </row>
    <row r="593" ht="15.75" customHeight="1">
      <c r="P593" s="2"/>
      <c r="R593" s="3"/>
      <c r="S593" s="3"/>
    </row>
    <row r="594" ht="15.75" customHeight="1">
      <c r="P594" s="2"/>
      <c r="R594" s="3"/>
      <c r="S594" s="3"/>
    </row>
    <row r="595" ht="15.75" customHeight="1">
      <c r="P595" s="2"/>
      <c r="R595" s="3"/>
      <c r="S595" s="3"/>
    </row>
    <row r="596" ht="15.75" customHeight="1">
      <c r="P596" s="2"/>
      <c r="R596" s="3"/>
      <c r="S596" s="3"/>
    </row>
    <row r="597" ht="15.75" customHeight="1">
      <c r="P597" s="2"/>
      <c r="R597" s="3"/>
      <c r="S597" s="3"/>
    </row>
    <row r="598" ht="15.75" customHeight="1">
      <c r="P598" s="2"/>
      <c r="R598" s="3"/>
      <c r="S598" s="3"/>
    </row>
    <row r="599" ht="15.75" customHeight="1">
      <c r="P599" s="2"/>
      <c r="R599" s="3"/>
      <c r="S599" s="3"/>
    </row>
    <row r="600" ht="15.75" customHeight="1">
      <c r="P600" s="2"/>
      <c r="R600" s="3"/>
      <c r="S600" s="3"/>
    </row>
    <row r="601" ht="15.75" customHeight="1">
      <c r="P601" s="2"/>
      <c r="R601" s="3"/>
      <c r="S601" s="3"/>
    </row>
    <row r="602" ht="15.75" customHeight="1">
      <c r="P602" s="2"/>
      <c r="R602" s="3"/>
      <c r="S602" s="3"/>
    </row>
    <row r="603" ht="15.75" customHeight="1">
      <c r="P603" s="2"/>
      <c r="R603" s="3"/>
      <c r="S603" s="3"/>
    </row>
    <row r="604" ht="15.75" customHeight="1">
      <c r="P604" s="2"/>
      <c r="R604" s="3"/>
      <c r="S604" s="3"/>
    </row>
    <row r="605" ht="15.75" customHeight="1">
      <c r="P605" s="2"/>
      <c r="R605" s="3"/>
      <c r="S605" s="3"/>
    </row>
    <row r="606" ht="15.75" customHeight="1">
      <c r="P606" s="2"/>
      <c r="R606" s="3"/>
      <c r="S606" s="3"/>
    </row>
    <row r="607" ht="15.75" customHeight="1">
      <c r="P607" s="2"/>
      <c r="R607" s="3"/>
      <c r="S607" s="3"/>
    </row>
    <row r="608" ht="15.75" customHeight="1">
      <c r="P608" s="2"/>
      <c r="R608" s="3"/>
      <c r="S608" s="3"/>
    </row>
    <row r="609" ht="15.75" customHeight="1">
      <c r="P609" s="2"/>
      <c r="R609" s="3"/>
      <c r="S609" s="3"/>
    </row>
    <row r="610" ht="15.75" customHeight="1">
      <c r="P610" s="2"/>
      <c r="R610" s="3"/>
      <c r="S610" s="3"/>
    </row>
    <row r="611" ht="15.75" customHeight="1">
      <c r="P611" s="2"/>
      <c r="R611" s="3"/>
      <c r="S611" s="3"/>
    </row>
    <row r="612" ht="15.75" customHeight="1">
      <c r="P612" s="2"/>
      <c r="R612" s="3"/>
      <c r="S612" s="3"/>
    </row>
    <row r="613" ht="15.75" customHeight="1">
      <c r="P613" s="2"/>
      <c r="R613" s="3"/>
      <c r="S613" s="3"/>
    </row>
    <row r="614" ht="15.75" customHeight="1">
      <c r="P614" s="2"/>
      <c r="R614" s="3"/>
      <c r="S614" s="3"/>
    </row>
    <row r="615" ht="15.75" customHeight="1">
      <c r="P615" s="2"/>
      <c r="R615" s="3"/>
      <c r="S615" s="3"/>
    </row>
    <row r="616" ht="15.75" customHeight="1">
      <c r="P616" s="2"/>
      <c r="R616" s="3"/>
      <c r="S616" s="3"/>
    </row>
    <row r="617" ht="15.75" customHeight="1">
      <c r="P617" s="2"/>
      <c r="R617" s="3"/>
      <c r="S617" s="3"/>
    </row>
    <row r="618" ht="15.75" customHeight="1">
      <c r="P618" s="2"/>
      <c r="R618" s="3"/>
      <c r="S618" s="3"/>
    </row>
    <row r="619" ht="15.75" customHeight="1">
      <c r="P619" s="2"/>
      <c r="R619" s="3"/>
      <c r="S619" s="3"/>
    </row>
    <row r="620" ht="15.75" customHeight="1">
      <c r="P620" s="2"/>
      <c r="R620" s="3"/>
      <c r="S620" s="3"/>
    </row>
    <row r="621" ht="15.75" customHeight="1">
      <c r="P621" s="2"/>
      <c r="R621" s="3"/>
      <c r="S621" s="3"/>
    </row>
    <row r="622" ht="15.75" customHeight="1">
      <c r="P622" s="2"/>
      <c r="R622" s="3"/>
      <c r="S622" s="3"/>
    </row>
    <row r="623" ht="15.75" customHeight="1">
      <c r="P623" s="2"/>
      <c r="R623" s="3"/>
      <c r="S623" s="3"/>
    </row>
    <row r="624" ht="15.75" customHeight="1">
      <c r="P624" s="2"/>
      <c r="R624" s="3"/>
      <c r="S624" s="3"/>
    </row>
    <row r="625" ht="15.75" customHeight="1">
      <c r="P625" s="2"/>
      <c r="R625" s="3"/>
      <c r="S625" s="3"/>
    </row>
    <row r="626" ht="15.75" customHeight="1">
      <c r="P626" s="2"/>
      <c r="R626" s="3"/>
      <c r="S626" s="3"/>
    </row>
    <row r="627" ht="15.75" customHeight="1">
      <c r="P627" s="2"/>
      <c r="R627" s="3"/>
      <c r="S627" s="3"/>
    </row>
    <row r="628" ht="15.75" customHeight="1">
      <c r="P628" s="2"/>
      <c r="R628" s="3"/>
      <c r="S628" s="3"/>
    </row>
    <row r="629" ht="15.75" customHeight="1">
      <c r="P629" s="2"/>
      <c r="R629" s="3"/>
      <c r="S629" s="3"/>
    </row>
    <row r="630" ht="15.75" customHeight="1">
      <c r="P630" s="2"/>
      <c r="R630" s="3"/>
      <c r="S630" s="3"/>
    </row>
    <row r="631" ht="15.75" customHeight="1">
      <c r="P631" s="2"/>
      <c r="R631" s="3"/>
      <c r="S631" s="3"/>
    </row>
    <row r="632" ht="15.75" customHeight="1">
      <c r="P632" s="2"/>
      <c r="R632" s="3"/>
      <c r="S632" s="3"/>
    </row>
    <row r="633" ht="15.75" customHeight="1">
      <c r="P633" s="2"/>
      <c r="R633" s="3"/>
      <c r="S633" s="3"/>
    </row>
    <row r="634" ht="15.75" customHeight="1">
      <c r="P634" s="2"/>
      <c r="R634" s="3"/>
      <c r="S634" s="3"/>
    </row>
    <row r="635" ht="15.75" customHeight="1">
      <c r="P635" s="2"/>
      <c r="R635" s="3"/>
      <c r="S635" s="3"/>
    </row>
    <row r="636" ht="15.75" customHeight="1">
      <c r="P636" s="2"/>
      <c r="R636" s="3"/>
      <c r="S636" s="3"/>
    </row>
    <row r="637" ht="15.75" customHeight="1">
      <c r="P637" s="2"/>
      <c r="R637" s="3"/>
      <c r="S637" s="3"/>
    </row>
    <row r="638" ht="15.75" customHeight="1">
      <c r="P638" s="2"/>
      <c r="R638" s="3"/>
      <c r="S638" s="3"/>
    </row>
    <row r="639" ht="15.75" customHeight="1">
      <c r="P639" s="2"/>
      <c r="R639" s="3"/>
      <c r="S639" s="3"/>
    </row>
    <row r="640" ht="15.75" customHeight="1">
      <c r="P640" s="2"/>
      <c r="R640" s="3"/>
      <c r="S640" s="3"/>
    </row>
    <row r="641" ht="15.75" customHeight="1">
      <c r="P641" s="2"/>
      <c r="R641" s="3"/>
      <c r="S641" s="3"/>
    </row>
    <row r="642" ht="15.75" customHeight="1">
      <c r="P642" s="2"/>
      <c r="R642" s="3"/>
      <c r="S642" s="3"/>
    </row>
    <row r="643" ht="15.75" customHeight="1">
      <c r="P643" s="2"/>
      <c r="R643" s="3"/>
      <c r="S643" s="3"/>
    </row>
    <row r="644" ht="15.75" customHeight="1">
      <c r="P644" s="2"/>
      <c r="R644" s="3"/>
      <c r="S644" s="3"/>
    </row>
    <row r="645" ht="15.75" customHeight="1">
      <c r="P645" s="2"/>
      <c r="R645" s="3"/>
      <c r="S645" s="3"/>
    </row>
    <row r="646" ht="15.75" customHeight="1">
      <c r="P646" s="2"/>
      <c r="R646" s="3"/>
      <c r="S646" s="3"/>
    </row>
    <row r="647" ht="15.75" customHeight="1">
      <c r="P647" s="2"/>
      <c r="R647" s="3"/>
      <c r="S647" s="3"/>
    </row>
    <row r="648" ht="15.75" customHeight="1">
      <c r="P648" s="2"/>
      <c r="R648" s="3"/>
      <c r="S648" s="3"/>
    </row>
    <row r="649" ht="15.75" customHeight="1">
      <c r="P649" s="2"/>
      <c r="R649" s="3"/>
      <c r="S649" s="3"/>
    </row>
    <row r="650" ht="15.75" customHeight="1">
      <c r="P650" s="2"/>
      <c r="R650" s="3"/>
      <c r="S650" s="3"/>
    </row>
    <row r="651" ht="15.75" customHeight="1">
      <c r="P651" s="2"/>
      <c r="R651" s="3"/>
      <c r="S651" s="3"/>
    </row>
    <row r="652" ht="15.75" customHeight="1">
      <c r="P652" s="2"/>
      <c r="R652" s="3"/>
      <c r="S652" s="3"/>
    </row>
    <row r="653" ht="15.75" customHeight="1">
      <c r="P653" s="2"/>
      <c r="R653" s="3"/>
      <c r="S653" s="3"/>
    </row>
    <row r="654" ht="15.75" customHeight="1">
      <c r="P654" s="2"/>
      <c r="R654" s="3"/>
      <c r="S654" s="3"/>
    </row>
    <row r="655" ht="15.75" customHeight="1">
      <c r="P655" s="2"/>
      <c r="R655" s="3"/>
      <c r="S655" s="3"/>
    </row>
    <row r="656" ht="15.75" customHeight="1">
      <c r="P656" s="2"/>
      <c r="R656" s="3"/>
      <c r="S656" s="3"/>
    </row>
    <row r="657" ht="15.75" customHeight="1">
      <c r="P657" s="2"/>
      <c r="R657" s="3"/>
      <c r="S657" s="3"/>
    </row>
    <row r="658" ht="15.75" customHeight="1">
      <c r="P658" s="2"/>
      <c r="R658" s="3"/>
      <c r="S658" s="3"/>
    </row>
    <row r="659" ht="15.75" customHeight="1">
      <c r="P659" s="2"/>
      <c r="R659" s="3"/>
      <c r="S659" s="3"/>
    </row>
    <row r="660" ht="15.75" customHeight="1">
      <c r="P660" s="2"/>
      <c r="R660" s="3"/>
      <c r="S660" s="3"/>
    </row>
    <row r="661" ht="15.75" customHeight="1">
      <c r="P661" s="2"/>
      <c r="R661" s="3"/>
      <c r="S661" s="3"/>
    </row>
    <row r="662" ht="15.75" customHeight="1">
      <c r="P662" s="2"/>
      <c r="R662" s="3"/>
      <c r="S662" s="3"/>
    </row>
    <row r="663" ht="15.75" customHeight="1">
      <c r="P663" s="2"/>
      <c r="R663" s="3"/>
      <c r="S663" s="3"/>
    </row>
    <row r="664" ht="15.75" customHeight="1">
      <c r="P664" s="2"/>
      <c r="R664" s="3"/>
      <c r="S664" s="3"/>
    </row>
    <row r="665" ht="15.75" customHeight="1">
      <c r="P665" s="2"/>
      <c r="R665" s="3"/>
      <c r="S665" s="3"/>
    </row>
    <row r="666" ht="15.75" customHeight="1">
      <c r="P666" s="2"/>
      <c r="R666" s="3"/>
      <c r="S666" s="3"/>
    </row>
    <row r="667" ht="15.75" customHeight="1">
      <c r="P667" s="2"/>
      <c r="R667" s="3"/>
      <c r="S667" s="3"/>
    </row>
    <row r="668" ht="15.75" customHeight="1">
      <c r="P668" s="2"/>
      <c r="R668" s="3"/>
      <c r="S668" s="3"/>
    </row>
    <row r="669" ht="15.75" customHeight="1">
      <c r="P669" s="2"/>
      <c r="R669" s="3"/>
      <c r="S669" s="3"/>
    </row>
    <row r="670" ht="15.75" customHeight="1">
      <c r="P670" s="2"/>
      <c r="R670" s="3"/>
      <c r="S670" s="3"/>
    </row>
    <row r="671" ht="15.75" customHeight="1">
      <c r="P671" s="2"/>
      <c r="R671" s="3"/>
      <c r="S671" s="3"/>
    </row>
    <row r="672" ht="15.75" customHeight="1">
      <c r="P672" s="2"/>
      <c r="R672" s="3"/>
      <c r="S672" s="3"/>
    </row>
    <row r="673" ht="15.75" customHeight="1">
      <c r="P673" s="2"/>
      <c r="R673" s="3"/>
      <c r="S673" s="3"/>
    </row>
    <row r="674" ht="15.75" customHeight="1">
      <c r="P674" s="2"/>
      <c r="R674" s="3"/>
      <c r="S674" s="3"/>
    </row>
    <row r="675" ht="15.75" customHeight="1">
      <c r="P675" s="2"/>
      <c r="R675" s="3"/>
      <c r="S675" s="3"/>
    </row>
    <row r="676" ht="15.75" customHeight="1">
      <c r="P676" s="2"/>
      <c r="R676" s="3"/>
      <c r="S676" s="3"/>
    </row>
    <row r="677" ht="15.75" customHeight="1">
      <c r="P677" s="2"/>
      <c r="R677" s="3"/>
      <c r="S677" s="3"/>
    </row>
    <row r="678" ht="15.75" customHeight="1">
      <c r="P678" s="2"/>
      <c r="R678" s="3"/>
      <c r="S678" s="3"/>
    </row>
    <row r="679" ht="15.75" customHeight="1">
      <c r="P679" s="2"/>
      <c r="R679" s="3"/>
      <c r="S679" s="3"/>
    </row>
    <row r="680" ht="15.75" customHeight="1">
      <c r="P680" s="2"/>
      <c r="R680" s="3"/>
      <c r="S680" s="3"/>
    </row>
    <row r="681" ht="15.75" customHeight="1">
      <c r="P681" s="2"/>
      <c r="R681" s="3"/>
      <c r="S681" s="3"/>
    </row>
    <row r="682" ht="15.75" customHeight="1">
      <c r="P682" s="2"/>
      <c r="R682" s="3"/>
      <c r="S682" s="3"/>
    </row>
    <row r="683" ht="15.75" customHeight="1">
      <c r="P683" s="2"/>
      <c r="R683" s="3"/>
      <c r="S683" s="3"/>
    </row>
    <row r="684" ht="15.75" customHeight="1">
      <c r="P684" s="2"/>
      <c r="R684" s="3"/>
      <c r="S684" s="3"/>
    </row>
    <row r="685" ht="15.75" customHeight="1">
      <c r="P685" s="2"/>
      <c r="R685" s="3"/>
      <c r="S685" s="3"/>
    </row>
    <row r="686" ht="15.75" customHeight="1">
      <c r="P686" s="2"/>
      <c r="R686" s="3"/>
      <c r="S686" s="3"/>
    </row>
    <row r="687" ht="15.75" customHeight="1">
      <c r="P687" s="2"/>
      <c r="R687" s="3"/>
      <c r="S687" s="3"/>
    </row>
    <row r="688" ht="15.75" customHeight="1">
      <c r="P688" s="2"/>
      <c r="R688" s="3"/>
      <c r="S688" s="3"/>
    </row>
    <row r="689" ht="15.75" customHeight="1">
      <c r="P689" s="2"/>
      <c r="R689" s="3"/>
      <c r="S689" s="3"/>
    </row>
    <row r="690" ht="15.75" customHeight="1">
      <c r="P690" s="2"/>
      <c r="R690" s="3"/>
      <c r="S690" s="3"/>
    </row>
    <row r="691" ht="15.75" customHeight="1">
      <c r="P691" s="2"/>
      <c r="R691" s="3"/>
      <c r="S691" s="3"/>
    </row>
    <row r="692" ht="15.75" customHeight="1">
      <c r="P692" s="2"/>
      <c r="R692" s="3"/>
      <c r="S692" s="3"/>
    </row>
    <row r="693" ht="15.75" customHeight="1">
      <c r="P693" s="2"/>
      <c r="R693" s="3"/>
      <c r="S693" s="3"/>
    </row>
    <row r="694" ht="15.75" customHeight="1">
      <c r="P694" s="2"/>
      <c r="R694" s="3"/>
      <c r="S694" s="3"/>
    </row>
    <row r="695" ht="15.75" customHeight="1">
      <c r="P695" s="2"/>
      <c r="R695" s="3"/>
      <c r="S695" s="3"/>
    </row>
    <row r="696" ht="15.75" customHeight="1">
      <c r="P696" s="2"/>
      <c r="R696" s="3"/>
      <c r="S696" s="3"/>
    </row>
    <row r="697" ht="15.75" customHeight="1">
      <c r="P697" s="2"/>
      <c r="R697" s="3"/>
      <c r="S697" s="3"/>
    </row>
    <row r="698" ht="15.75" customHeight="1">
      <c r="P698" s="2"/>
      <c r="R698" s="3"/>
      <c r="S698" s="3"/>
    </row>
    <row r="699" ht="15.75" customHeight="1">
      <c r="P699" s="2"/>
      <c r="R699" s="3"/>
      <c r="S699" s="3"/>
    </row>
    <row r="700" ht="15.75" customHeight="1">
      <c r="P700" s="2"/>
      <c r="R700" s="3"/>
      <c r="S700" s="3"/>
    </row>
    <row r="701" ht="15.75" customHeight="1">
      <c r="P701" s="2"/>
      <c r="R701" s="3"/>
      <c r="S701" s="3"/>
    </row>
    <row r="702" ht="15.75" customHeight="1">
      <c r="P702" s="2"/>
      <c r="R702" s="3"/>
      <c r="S702" s="3"/>
    </row>
    <row r="703" ht="15.75" customHeight="1">
      <c r="P703" s="2"/>
      <c r="R703" s="3"/>
      <c r="S703" s="3"/>
    </row>
    <row r="704" ht="15.75" customHeight="1">
      <c r="P704" s="2"/>
      <c r="R704" s="3"/>
      <c r="S704" s="3"/>
    </row>
    <row r="705" ht="15.75" customHeight="1">
      <c r="P705" s="2"/>
      <c r="R705" s="3"/>
      <c r="S705" s="3"/>
    </row>
    <row r="706" ht="15.75" customHeight="1">
      <c r="P706" s="2"/>
      <c r="R706" s="3"/>
      <c r="S706" s="3"/>
    </row>
    <row r="707" ht="15.75" customHeight="1">
      <c r="P707" s="2"/>
      <c r="R707" s="3"/>
      <c r="S707" s="3"/>
    </row>
    <row r="708" ht="15.75" customHeight="1">
      <c r="P708" s="2"/>
      <c r="R708" s="3"/>
      <c r="S708" s="3"/>
    </row>
    <row r="709" ht="15.75" customHeight="1">
      <c r="P709" s="2"/>
      <c r="R709" s="3"/>
      <c r="S709" s="3"/>
    </row>
    <row r="710" ht="15.75" customHeight="1">
      <c r="P710" s="2"/>
      <c r="R710" s="3"/>
      <c r="S710" s="3"/>
    </row>
    <row r="711" ht="15.75" customHeight="1">
      <c r="P711" s="2"/>
      <c r="R711" s="3"/>
      <c r="S711" s="3"/>
    </row>
    <row r="712" ht="15.75" customHeight="1">
      <c r="P712" s="2"/>
      <c r="R712" s="3"/>
      <c r="S712" s="3"/>
    </row>
    <row r="713" ht="15.75" customHeight="1">
      <c r="P713" s="2"/>
      <c r="R713" s="3"/>
      <c r="S713" s="3"/>
    </row>
    <row r="714" ht="15.75" customHeight="1">
      <c r="P714" s="2"/>
      <c r="R714" s="3"/>
      <c r="S714" s="3"/>
    </row>
    <row r="715" ht="15.75" customHeight="1">
      <c r="P715" s="2"/>
      <c r="R715" s="3"/>
      <c r="S715" s="3"/>
    </row>
    <row r="716" ht="15.75" customHeight="1">
      <c r="P716" s="2"/>
      <c r="R716" s="3"/>
      <c r="S716" s="3"/>
    </row>
    <row r="717" ht="15.75" customHeight="1">
      <c r="P717" s="2"/>
      <c r="R717" s="3"/>
      <c r="S717" s="3"/>
    </row>
    <row r="718" ht="15.75" customHeight="1">
      <c r="P718" s="2"/>
      <c r="R718" s="3"/>
      <c r="S718" s="3"/>
    </row>
    <row r="719" ht="15.75" customHeight="1">
      <c r="P719" s="2"/>
      <c r="R719" s="3"/>
      <c r="S719" s="3"/>
    </row>
    <row r="720" ht="15.75" customHeight="1">
      <c r="P720" s="2"/>
      <c r="R720" s="3"/>
      <c r="S720" s="3"/>
    </row>
    <row r="721" ht="15.75" customHeight="1">
      <c r="P721" s="2"/>
      <c r="R721" s="3"/>
      <c r="S721" s="3"/>
    </row>
    <row r="722" ht="15.75" customHeight="1">
      <c r="P722" s="2"/>
      <c r="R722" s="3"/>
      <c r="S722" s="3"/>
    </row>
    <row r="723" ht="15.75" customHeight="1">
      <c r="P723" s="2"/>
      <c r="R723" s="3"/>
      <c r="S723" s="3"/>
    </row>
    <row r="724" ht="15.75" customHeight="1">
      <c r="P724" s="2"/>
      <c r="R724" s="3"/>
      <c r="S724" s="3"/>
    </row>
    <row r="725" ht="15.75" customHeight="1">
      <c r="P725" s="2"/>
      <c r="R725" s="3"/>
      <c r="S725" s="3"/>
    </row>
    <row r="726" ht="15.75" customHeight="1">
      <c r="P726" s="2"/>
      <c r="R726" s="3"/>
      <c r="S726" s="3"/>
    </row>
    <row r="727" ht="15.75" customHeight="1">
      <c r="P727" s="2"/>
      <c r="R727" s="3"/>
      <c r="S727" s="3"/>
    </row>
    <row r="728" ht="15.75" customHeight="1">
      <c r="P728" s="2"/>
      <c r="R728" s="3"/>
      <c r="S728" s="3"/>
    </row>
    <row r="729" ht="15.75" customHeight="1">
      <c r="P729" s="2"/>
      <c r="R729" s="3"/>
      <c r="S729" s="3"/>
    </row>
    <row r="730" ht="15.75" customHeight="1">
      <c r="P730" s="2"/>
      <c r="R730" s="3"/>
      <c r="S730" s="3"/>
    </row>
    <row r="731" ht="15.75" customHeight="1">
      <c r="P731" s="2"/>
      <c r="R731" s="3"/>
      <c r="S731" s="3"/>
    </row>
    <row r="732" ht="15.75" customHeight="1">
      <c r="P732" s="2"/>
      <c r="R732" s="3"/>
      <c r="S732" s="3"/>
    </row>
    <row r="733" ht="15.75" customHeight="1">
      <c r="P733" s="2"/>
      <c r="R733" s="3"/>
      <c r="S733" s="3"/>
    </row>
    <row r="734" ht="15.75" customHeight="1">
      <c r="P734" s="2"/>
      <c r="R734" s="3"/>
      <c r="S734" s="3"/>
    </row>
    <row r="735" ht="15.75" customHeight="1">
      <c r="P735" s="2"/>
      <c r="R735" s="3"/>
      <c r="S735" s="3"/>
    </row>
    <row r="736" ht="15.75" customHeight="1">
      <c r="P736" s="2"/>
      <c r="R736" s="3"/>
      <c r="S736" s="3"/>
    </row>
    <row r="737" ht="15.75" customHeight="1">
      <c r="P737" s="2"/>
      <c r="R737" s="3"/>
      <c r="S737" s="3"/>
    </row>
    <row r="738" ht="15.75" customHeight="1">
      <c r="P738" s="2"/>
      <c r="R738" s="3"/>
      <c r="S738" s="3"/>
    </row>
    <row r="739" ht="15.75" customHeight="1">
      <c r="P739" s="2"/>
      <c r="R739" s="3"/>
      <c r="S739" s="3"/>
    </row>
    <row r="740" ht="15.75" customHeight="1">
      <c r="P740" s="2"/>
      <c r="R740" s="3"/>
      <c r="S740" s="3"/>
    </row>
    <row r="741" ht="15.75" customHeight="1">
      <c r="P741" s="2"/>
      <c r="R741" s="3"/>
      <c r="S741" s="3"/>
    </row>
    <row r="742" ht="15.75" customHeight="1">
      <c r="P742" s="2"/>
      <c r="R742" s="3"/>
      <c r="S742" s="3"/>
    </row>
    <row r="743" ht="15.75" customHeight="1">
      <c r="P743" s="2"/>
      <c r="R743" s="3"/>
      <c r="S743" s="3"/>
    </row>
    <row r="744" ht="15.75" customHeight="1">
      <c r="P744" s="2"/>
      <c r="R744" s="3"/>
      <c r="S744" s="3"/>
    </row>
    <row r="745" ht="15.75" customHeight="1">
      <c r="P745" s="2"/>
      <c r="R745" s="3"/>
      <c r="S745" s="3"/>
    </row>
    <row r="746" ht="15.75" customHeight="1">
      <c r="P746" s="2"/>
      <c r="R746" s="3"/>
      <c r="S746" s="3"/>
    </row>
    <row r="747" ht="15.75" customHeight="1">
      <c r="P747" s="2"/>
      <c r="R747" s="3"/>
      <c r="S747" s="3"/>
    </row>
    <row r="748" ht="15.75" customHeight="1">
      <c r="P748" s="2"/>
      <c r="R748" s="3"/>
      <c r="S748" s="3"/>
    </row>
    <row r="749" ht="15.75" customHeight="1">
      <c r="P749" s="2"/>
      <c r="R749" s="3"/>
      <c r="S749" s="3"/>
    </row>
    <row r="750" ht="15.75" customHeight="1">
      <c r="P750" s="2"/>
      <c r="R750" s="3"/>
      <c r="S750" s="3"/>
    </row>
    <row r="751" ht="15.75" customHeight="1">
      <c r="P751" s="2"/>
      <c r="R751" s="3"/>
      <c r="S751" s="3"/>
    </row>
    <row r="752" ht="15.75" customHeight="1">
      <c r="P752" s="2"/>
      <c r="R752" s="3"/>
      <c r="S752" s="3"/>
    </row>
    <row r="753" ht="15.75" customHeight="1">
      <c r="P753" s="2"/>
      <c r="R753" s="3"/>
      <c r="S753" s="3"/>
    </row>
    <row r="754" ht="15.75" customHeight="1">
      <c r="P754" s="2"/>
      <c r="R754" s="3"/>
      <c r="S754" s="3"/>
    </row>
    <row r="755" ht="15.75" customHeight="1">
      <c r="P755" s="2"/>
      <c r="R755" s="3"/>
      <c r="S755" s="3"/>
    </row>
    <row r="756" ht="15.75" customHeight="1">
      <c r="P756" s="2"/>
      <c r="R756" s="3"/>
      <c r="S756" s="3"/>
    </row>
    <row r="757" ht="15.75" customHeight="1">
      <c r="P757" s="2"/>
      <c r="R757" s="3"/>
      <c r="S757" s="3"/>
    </row>
    <row r="758" ht="15.75" customHeight="1">
      <c r="P758" s="2"/>
      <c r="R758" s="3"/>
      <c r="S758" s="3"/>
    </row>
    <row r="759" ht="15.75" customHeight="1">
      <c r="P759" s="2"/>
      <c r="R759" s="3"/>
      <c r="S759" s="3"/>
    </row>
    <row r="760" ht="15.75" customHeight="1">
      <c r="P760" s="2"/>
      <c r="R760" s="3"/>
      <c r="S760" s="3"/>
    </row>
    <row r="761" ht="15.75" customHeight="1">
      <c r="P761" s="2"/>
      <c r="R761" s="3"/>
      <c r="S761" s="3"/>
    </row>
    <row r="762" ht="15.75" customHeight="1">
      <c r="P762" s="2"/>
      <c r="R762" s="3"/>
      <c r="S762" s="3"/>
    </row>
    <row r="763" ht="15.75" customHeight="1">
      <c r="P763" s="2"/>
      <c r="R763" s="3"/>
      <c r="S763" s="3"/>
    </row>
    <row r="764" ht="15.75" customHeight="1">
      <c r="P764" s="2"/>
      <c r="R764" s="3"/>
      <c r="S764" s="3"/>
    </row>
    <row r="765" ht="15.75" customHeight="1">
      <c r="P765" s="2"/>
      <c r="R765" s="3"/>
      <c r="S765" s="3"/>
    </row>
    <row r="766" ht="15.75" customHeight="1">
      <c r="P766" s="2"/>
      <c r="R766" s="3"/>
      <c r="S766" s="3"/>
    </row>
    <row r="767" ht="15.75" customHeight="1">
      <c r="P767" s="2"/>
      <c r="R767" s="3"/>
      <c r="S767" s="3"/>
    </row>
    <row r="768" ht="15.75" customHeight="1">
      <c r="P768" s="2"/>
      <c r="R768" s="3"/>
      <c r="S768" s="3"/>
    </row>
    <row r="769" ht="15.75" customHeight="1">
      <c r="P769" s="2"/>
      <c r="R769" s="3"/>
      <c r="S769" s="3"/>
    </row>
    <row r="770" ht="15.75" customHeight="1">
      <c r="P770" s="2"/>
      <c r="R770" s="3"/>
      <c r="S770" s="3"/>
    </row>
    <row r="771" ht="15.75" customHeight="1">
      <c r="P771" s="2"/>
      <c r="R771" s="3"/>
      <c r="S771" s="3"/>
    </row>
    <row r="772" ht="15.75" customHeight="1">
      <c r="P772" s="2"/>
      <c r="R772" s="3"/>
      <c r="S772" s="3"/>
    </row>
    <row r="773" ht="15.75" customHeight="1">
      <c r="P773" s="2"/>
      <c r="R773" s="3"/>
      <c r="S773" s="3"/>
    </row>
    <row r="774" ht="15.75" customHeight="1">
      <c r="P774" s="2"/>
      <c r="R774" s="3"/>
      <c r="S774" s="3"/>
    </row>
    <row r="775" ht="15.75" customHeight="1">
      <c r="P775" s="2"/>
      <c r="R775" s="3"/>
      <c r="S775" s="3"/>
    </row>
    <row r="776" ht="15.75" customHeight="1">
      <c r="P776" s="2"/>
      <c r="R776" s="3"/>
      <c r="S776" s="3"/>
    </row>
    <row r="777" ht="15.75" customHeight="1">
      <c r="P777" s="2"/>
      <c r="R777" s="3"/>
      <c r="S777" s="3"/>
    </row>
    <row r="778" ht="15.75" customHeight="1">
      <c r="P778" s="2"/>
      <c r="R778" s="3"/>
      <c r="S778" s="3"/>
    </row>
    <row r="779" ht="15.75" customHeight="1">
      <c r="P779" s="2"/>
      <c r="R779" s="3"/>
      <c r="S779" s="3"/>
    </row>
    <row r="780" ht="15.75" customHeight="1">
      <c r="P780" s="2"/>
      <c r="R780" s="3"/>
      <c r="S780" s="3"/>
    </row>
    <row r="781" ht="15.75" customHeight="1">
      <c r="P781" s="2"/>
      <c r="R781" s="3"/>
      <c r="S781" s="3"/>
    </row>
    <row r="782" ht="15.75" customHeight="1">
      <c r="P782" s="2"/>
      <c r="R782" s="3"/>
      <c r="S782" s="3"/>
    </row>
    <row r="783" ht="15.75" customHeight="1">
      <c r="P783" s="2"/>
      <c r="R783" s="3"/>
      <c r="S783" s="3"/>
    </row>
    <row r="784" ht="15.75" customHeight="1">
      <c r="P784" s="2"/>
      <c r="R784" s="3"/>
      <c r="S784" s="3"/>
    </row>
    <row r="785" ht="15.75" customHeight="1">
      <c r="P785" s="2"/>
      <c r="R785" s="3"/>
      <c r="S785" s="3"/>
    </row>
    <row r="786" ht="15.75" customHeight="1">
      <c r="P786" s="2"/>
      <c r="R786" s="3"/>
      <c r="S786" s="3"/>
    </row>
    <row r="787" ht="15.75" customHeight="1">
      <c r="P787" s="2"/>
      <c r="R787" s="3"/>
      <c r="S787" s="3"/>
    </row>
    <row r="788" ht="15.75" customHeight="1">
      <c r="P788" s="2"/>
      <c r="R788" s="3"/>
      <c r="S788" s="3"/>
    </row>
    <row r="789" ht="15.75" customHeight="1">
      <c r="P789" s="2"/>
      <c r="R789" s="3"/>
      <c r="S789" s="3"/>
    </row>
    <row r="790" ht="15.75" customHeight="1">
      <c r="P790" s="2"/>
      <c r="R790" s="3"/>
      <c r="S790" s="3"/>
    </row>
    <row r="791" ht="15.75" customHeight="1">
      <c r="P791" s="2"/>
      <c r="R791" s="3"/>
      <c r="S791" s="3"/>
    </row>
    <row r="792" ht="15.75" customHeight="1">
      <c r="P792" s="2"/>
      <c r="R792" s="3"/>
      <c r="S792" s="3"/>
    </row>
    <row r="793" ht="15.75" customHeight="1">
      <c r="P793" s="2"/>
      <c r="R793" s="3"/>
      <c r="S793" s="3"/>
    </row>
    <row r="794" ht="15.75" customHeight="1">
      <c r="P794" s="2"/>
      <c r="R794" s="3"/>
      <c r="S794" s="3"/>
    </row>
    <row r="795" ht="15.75" customHeight="1">
      <c r="P795" s="2"/>
      <c r="R795" s="3"/>
      <c r="S795" s="3"/>
    </row>
    <row r="796" ht="15.75" customHeight="1">
      <c r="P796" s="2"/>
      <c r="R796" s="3"/>
      <c r="S796" s="3"/>
    </row>
    <row r="797" ht="15.75" customHeight="1">
      <c r="P797" s="2"/>
      <c r="R797" s="3"/>
      <c r="S797" s="3"/>
    </row>
    <row r="798" ht="15.75" customHeight="1">
      <c r="P798" s="2"/>
      <c r="R798" s="3"/>
      <c r="S798" s="3"/>
    </row>
    <row r="799" ht="15.75" customHeight="1">
      <c r="P799" s="2"/>
      <c r="R799" s="3"/>
      <c r="S799" s="3"/>
    </row>
    <row r="800" ht="15.75" customHeight="1">
      <c r="P800" s="2"/>
      <c r="R800" s="3"/>
      <c r="S800" s="3"/>
    </row>
    <row r="801" ht="15.75" customHeight="1">
      <c r="P801" s="2"/>
      <c r="R801" s="3"/>
      <c r="S801" s="3"/>
    </row>
    <row r="802" ht="15.75" customHeight="1">
      <c r="P802" s="2"/>
      <c r="R802" s="3"/>
      <c r="S802" s="3"/>
    </row>
    <row r="803" ht="15.75" customHeight="1">
      <c r="P803" s="2"/>
      <c r="R803" s="3"/>
      <c r="S803" s="3"/>
    </row>
    <row r="804" ht="15.75" customHeight="1">
      <c r="P804" s="2"/>
      <c r="R804" s="3"/>
      <c r="S804" s="3"/>
    </row>
    <row r="805" ht="15.75" customHeight="1">
      <c r="P805" s="2"/>
      <c r="R805" s="3"/>
      <c r="S805" s="3"/>
    </row>
    <row r="806" ht="15.75" customHeight="1">
      <c r="P806" s="2"/>
      <c r="R806" s="3"/>
      <c r="S806" s="3"/>
    </row>
    <row r="807" ht="15.75" customHeight="1">
      <c r="P807" s="2"/>
      <c r="R807" s="3"/>
      <c r="S807" s="3"/>
    </row>
    <row r="808" ht="15.75" customHeight="1">
      <c r="P808" s="2"/>
      <c r="R808" s="3"/>
      <c r="S808" s="3"/>
    </row>
    <row r="809" ht="15.75" customHeight="1">
      <c r="P809" s="2"/>
      <c r="R809" s="3"/>
      <c r="S809" s="3"/>
    </row>
    <row r="810" ht="15.75" customHeight="1">
      <c r="P810" s="2"/>
      <c r="R810" s="3"/>
      <c r="S810" s="3"/>
    </row>
    <row r="811" ht="15.75" customHeight="1">
      <c r="P811" s="2"/>
      <c r="R811" s="3"/>
      <c r="S811" s="3"/>
    </row>
    <row r="812" ht="15.75" customHeight="1">
      <c r="P812" s="2"/>
      <c r="R812" s="3"/>
      <c r="S812" s="3"/>
    </row>
    <row r="813" ht="15.75" customHeight="1">
      <c r="P813" s="2"/>
      <c r="R813" s="3"/>
      <c r="S813" s="3"/>
    </row>
    <row r="814" ht="15.75" customHeight="1">
      <c r="P814" s="2"/>
      <c r="R814" s="3"/>
      <c r="S814" s="3"/>
    </row>
    <row r="815" ht="15.75" customHeight="1">
      <c r="P815" s="2"/>
      <c r="R815" s="3"/>
      <c r="S815" s="3"/>
    </row>
    <row r="816" ht="15.75" customHeight="1">
      <c r="P816" s="2"/>
      <c r="R816" s="3"/>
      <c r="S816" s="3"/>
    </row>
    <row r="817" ht="15.75" customHeight="1">
      <c r="P817" s="2"/>
      <c r="R817" s="3"/>
      <c r="S817" s="3"/>
    </row>
    <row r="818" ht="15.75" customHeight="1">
      <c r="P818" s="2"/>
      <c r="R818" s="3"/>
      <c r="S818" s="3"/>
    </row>
    <row r="819" ht="15.75" customHeight="1">
      <c r="P819" s="2"/>
      <c r="R819" s="3"/>
      <c r="S819" s="3"/>
    </row>
    <row r="820" ht="15.75" customHeight="1">
      <c r="P820" s="2"/>
      <c r="R820" s="3"/>
      <c r="S820" s="3"/>
    </row>
    <row r="821" ht="15.75" customHeight="1">
      <c r="P821" s="2"/>
      <c r="R821" s="3"/>
      <c r="S821" s="3"/>
    </row>
    <row r="822" ht="15.75" customHeight="1">
      <c r="P822" s="2"/>
      <c r="R822" s="3"/>
      <c r="S822" s="3"/>
    </row>
    <row r="823" ht="15.75" customHeight="1">
      <c r="P823" s="2"/>
      <c r="R823" s="3"/>
      <c r="S823" s="3"/>
    </row>
    <row r="824" ht="15.75" customHeight="1">
      <c r="P824" s="2"/>
      <c r="R824" s="3"/>
      <c r="S824" s="3"/>
    </row>
    <row r="825" ht="15.75" customHeight="1">
      <c r="P825" s="2"/>
      <c r="R825" s="3"/>
      <c r="S825" s="3"/>
    </row>
    <row r="826" ht="15.75" customHeight="1">
      <c r="P826" s="2"/>
      <c r="R826" s="3"/>
      <c r="S826" s="3"/>
    </row>
    <row r="827" ht="15.75" customHeight="1">
      <c r="P827" s="2"/>
      <c r="R827" s="3"/>
      <c r="S827" s="3"/>
    </row>
    <row r="828" ht="15.75" customHeight="1">
      <c r="P828" s="2"/>
      <c r="R828" s="3"/>
      <c r="S828" s="3"/>
    </row>
    <row r="829" ht="15.75" customHeight="1">
      <c r="P829" s="2"/>
      <c r="R829" s="3"/>
      <c r="S829" s="3"/>
    </row>
    <row r="830" ht="15.75" customHeight="1">
      <c r="P830" s="2"/>
      <c r="R830" s="3"/>
      <c r="S830" s="3"/>
    </row>
    <row r="831" ht="15.75" customHeight="1">
      <c r="P831" s="2"/>
      <c r="R831" s="3"/>
      <c r="S831" s="3"/>
    </row>
    <row r="832" ht="15.75" customHeight="1">
      <c r="P832" s="2"/>
      <c r="R832" s="3"/>
      <c r="S832" s="3"/>
    </row>
    <row r="833" ht="15.75" customHeight="1">
      <c r="P833" s="2"/>
      <c r="R833" s="3"/>
      <c r="S833" s="3"/>
    </row>
    <row r="834" ht="15.75" customHeight="1">
      <c r="P834" s="2"/>
      <c r="R834" s="3"/>
      <c r="S834" s="3"/>
    </row>
    <row r="835" ht="15.75" customHeight="1">
      <c r="P835" s="2"/>
      <c r="R835" s="3"/>
      <c r="S835" s="3"/>
    </row>
    <row r="836" ht="15.75" customHeight="1">
      <c r="P836" s="2"/>
      <c r="R836" s="3"/>
      <c r="S836" s="3"/>
    </row>
    <row r="837" ht="15.75" customHeight="1">
      <c r="P837" s="2"/>
      <c r="R837" s="3"/>
      <c r="S837" s="3"/>
    </row>
    <row r="838" ht="15.75" customHeight="1">
      <c r="P838" s="2"/>
      <c r="R838" s="3"/>
      <c r="S838" s="3"/>
    </row>
    <row r="839" ht="15.75" customHeight="1">
      <c r="P839" s="2"/>
      <c r="R839" s="3"/>
      <c r="S839" s="3"/>
    </row>
    <row r="840" ht="15.75" customHeight="1">
      <c r="P840" s="2"/>
      <c r="R840" s="3"/>
      <c r="S840" s="3"/>
    </row>
    <row r="841" ht="15.75" customHeight="1">
      <c r="P841" s="2"/>
      <c r="R841" s="3"/>
      <c r="S841" s="3"/>
    </row>
    <row r="842" ht="15.75" customHeight="1">
      <c r="P842" s="2"/>
      <c r="R842" s="3"/>
      <c r="S842" s="3"/>
    </row>
    <row r="843" ht="15.75" customHeight="1">
      <c r="P843" s="2"/>
      <c r="R843" s="3"/>
      <c r="S843" s="3"/>
    </row>
    <row r="844" ht="15.75" customHeight="1">
      <c r="P844" s="2"/>
      <c r="R844" s="3"/>
      <c r="S844" s="3"/>
    </row>
    <row r="845" ht="15.75" customHeight="1">
      <c r="P845" s="2"/>
      <c r="R845" s="3"/>
      <c r="S845" s="3"/>
    </row>
    <row r="846" ht="15.75" customHeight="1">
      <c r="P846" s="2"/>
      <c r="R846" s="3"/>
      <c r="S846" s="3"/>
    </row>
    <row r="847" ht="15.75" customHeight="1">
      <c r="P847" s="2"/>
      <c r="R847" s="3"/>
      <c r="S847" s="3"/>
    </row>
    <row r="848" ht="15.75" customHeight="1">
      <c r="P848" s="2"/>
      <c r="R848" s="3"/>
      <c r="S848" s="3"/>
    </row>
    <row r="849" ht="15.75" customHeight="1">
      <c r="P849" s="2"/>
      <c r="R849" s="3"/>
      <c r="S849" s="3"/>
    </row>
    <row r="850" ht="15.75" customHeight="1">
      <c r="P850" s="2"/>
      <c r="R850" s="3"/>
      <c r="S850" s="3"/>
    </row>
    <row r="851" ht="15.75" customHeight="1">
      <c r="P851" s="2"/>
      <c r="R851" s="3"/>
      <c r="S851" s="3"/>
    </row>
    <row r="852" ht="15.75" customHeight="1">
      <c r="P852" s="2"/>
      <c r="R852" s="3"/>
      <c r="S852" s="3"/>
    </row>
    <row r="853" ht="15.75" customHeight="1">
      <c r="P853" s="2"/>
      <c r="R853" s="3"/>
      <c r="S853" s="3"/>
    </row>
    <row r="854" ht="15.75" customHeight="1">
      <c r="P854" s="2"/>
      <c r="R854" s="3"/>
      <c r="S854" s="3"/>
    </row>
    <row r="855" ht="15.75" customHeight="1">
      <c r="P855" s="2"/>
      <c r="R855" s="3"/>
      <c r="S855" s="3"/>
    </row>
    <row r="856" ht="15.75" customHeight="1">
      <c r="P856" s="2"/>
      <c r="R856" s="3"/>
      <c r="S856" s="3"/>
    </row>
    <row r="857" ht="15.75" customHeight="1">
      <c r="P857" s="2"/>
      <c r="R857" s="3"/>
      <c r="S857" s="3"/>
    </row>
    <row r="858" ht="15.75" customHeight="1">
      <c r="P858" s="2"/>
      <c r="R858" s="3"/>
      <c r="S858" s="3"/>
    </row>
    <row r="859" ht="15.75" customHeight="1">
      <c r="P859" s="2"/>
      <c r="R859" s="3"/>
      <c r="S859" s="3"/>
    </row>
    <row r="860" ht="15.75" customHeight="1">
      <c r="P860" s="2"/>
      <c r="R860" s="3"/>
      <c r="S860" s="3"/>
    </row>
    <row r="861" ht="15.75" customHeight="1">
      <c r="P861" s="2"/>
      <c r="R861" s="3"/>
      <c r="S861" s="3"/>
    </row>
    <row r="862" ht="15.75" customHeight="1">
      <c r="P862" s="2"/>
      <c r="R862" s="3"/>
      <c r="S862" s="3"/>
    </row>
    <row r="863" ht="15.75" customHeight="1">
      <c r="P863" s="2"/>
      <c r="R863" s="3"/>
      <c r="S863" s="3"/>
    </row>
    <row r="864" ht="15.75" customHeight="1">
      <c r="P864" s="2"/>
      <c r="R864" s="3"/>
      <c r="S864" s="3"/>
    </row>
    <row r="865" ht="15.75" customHeight="1">
      <c r="P865" s="2"/>
      <c r="R865" s="3"/>
      <c r="S865" s="3"/>
    </row>
    <row r="866" ht="15.75" customHeight="1">
      <c r="P866" s="2"/>
      <c r="R866" s="3"/>
      <c r="S866" s="3"/>
    </row>
    <row r="867" ht="15.75" customHeight="1">
      <c r="P867" s="2"/>
      <c r="R867" s="3"/>
      <c r="S867" s="3"/>
    </row>
    <row r="868" ht="15.75" customHeight="1">
      <c r="P868" s="2"/>
      <c r="R868" s="3"/>
      <c r="S868" s="3"/>
    </row>
    <row r="869" ht="15.75" customHeight="1">
      <c r="P869" s="2"/>
      <c r="R869" s="3"/>
      <c r="S869" s="3"/>
    </row>
    <row r="870" ht="15.75" customHeight="1">
      <c r="P870" s="2"/>
      <c r="R870" s="3"/>
      <c r="S870" s="3"/>
    </row>
    <row r="871" ht="15.75" customHeight="1">
      <c r="P871" s="2"/>
      <c r="R871" s="3"/>
      <c r="S871" s="3"/>
    </row>
    <row r="872" ht="15.75" customHeight="1">
      <c r="P872" s="2"/>
      <c r="R872" s="3"/>
      <c r="S872" s="3"/>
    </row>
    <row r="873" ht="15.75" customHeight="1">
      <c r="P873" s="2"/>
      <c r="R873" s="3"/>
      <c r="S873" s="3"/>
    </row>
    <row r="874" ht="15.75" customHeight="1">
      <c r="P874" s="2"/>
      <c r="R874" s="3"/>
      <c r="S874" s="3"/>
    </row>
    <row r="875" ht="15.75" customHeight="1">
      <c r="P875" s="2"/>
      <c r="R875" s="3"/>
      <c r="S875" s="3"/>
    </row>
    <row r="876" ht="15.75" customHeight="1">
      <c r="P876" s="2"/>
      <c r="R876" s="3"/>
      <c r="S876" s="3"/>
    </row>
    <row r="877" ht="15.75" customHeight="1">
      <c r="P877" s="2"/>
      <c r="R877" s="3"/>
      <c r="S877" s="3"/>
    </row>
    <row r="878" ht="15.75" customHeight="1">
      <c r="P878" s="2"/>
      <c r="R878" s="3"/>
      <c r="S878" s="3"/>
    </row>
    <row r="879" ht="15.75" customHeight="1">
      <c r="P879" s="2"/>
      <c r="R879" s="3"/>
      <c r="S879" s="3"/>
    </row>
    <row r="880" ht="15.75" customHeight="1">
      <c r="P880" s="2"/>
      <c r="R880" s="3"/>
      <c r="S880" s="3"/>
    </row>
    <row r="881" ht="15.75" customHeight="1">
      <c r="P881" s="2"/>
      <c r="R881" s="3"/>
      <c r="S881" s="3"/>
    </row>
    <row r="882" ht="15.75" customHeight="1">
      <c r="P882" s="2"/>
      <c r="R882" s="3"/>
      <c r="S882" s="3"/>
    </row>
    <row r="883" ht="15.75" customHeight="1">
      <c r="P883" s="2"/>
      <c r="R883" s="3"/>
      <c r="S883" s="3"/>
    </row>
    <row r="884" ht="15.75" customHeight="1">
      <c r="P884" s="2"/>
      <c r="R884" s="3"/>
      <c r="S884" s="3"/>
    </row>
    <row r="885" ht="15.75" customHeight="1">
      <c r="P885" s="2"/>
      <c r="R885" s="3"/>
      <c r="S885" s="3"/>
    </row>
    <row r="886" ht="15.75" customHeight="1">
      <c r="P886" s="2"/>
      <c r="R886" s="3"/>
      <c r="S886" s="3"/>
    </row>
    <row r="887" ht="15.75" customHeight="1">
      <c r="P887" s="2"/>
      <c r="R887" s="3"/>
      <c r="S887" s="3"/>
    </row>
    <row r="888" ht="15.75" customHeight="1">
      <c r="P888" s="2"/>
      <c r="R888" s="3"/>
      <c r="S888" s="3"/>
    </row>
    <row r="889" ht="15.75" customHeight="1">
      <c r="P889" s="2"/>
      <c r="R889" s="3"/>
      <c r="S889" s="3"/>
    </row>
    <row r="890" ht="15.75" customHeight="1">
      <c r="P890" s="2"/>
      <c r="R890" s="3"/>
      <c r="S890" s="3"/>
    </row>
    <row r="891" ht="15.75" customHeight="1">
      <c r="P891" s="2"/>
      <c r="R891" s="3"/>
      <c r="S891" s="3"/>
    </row>
    <row r="892" ht="15.75" customHeight="1">
      <c r="P892" s="2"/>
      <c r="R892" s="3"/>
      <c r="S892" s="3"/>
    </row>
    <row r="893" ht="15.75" customHeight="1">
      <c r="P893" s="2"/>
      <c r="R893" s="3"/>
      <c r="S893" s="3"/>
    </row>
    <row r="894" ht="15.75" customHeight="1">
      <c r="P894" s="2"/>
      <c r="R894" s="3"/>
      <c r="S894" s="3"/>
    </row>
    <row r="895" ht="15.75" customHeight="1">
      <c r="P895" s="2"/>
      <c r="R895" s="3"/>
      <c r="S895" s="3"/>
    </row>
    <row r="896" ht="15.75" customHeight="1">
      <c r="P896" s="2"/>
      <c r="R896" s="3"/>
      <c r="S896" s="3"/>
    </row>
    <row r="897" ht="15.75" customHeight="1">
      <c r="P897" s="2"/>
      <c r="R897" s="3"/>
      <c r="S897" s="3"/>
    </row>
    <row r="898" ht="15.75" customHeight="1">
      <c r="P898" s="2"/>
      <c r="R898" s="3"/>
      <c r="S898" s="3"/>
    </row>
    <row r="899" ht="15.75" customHeight="1">
      <c r="P899" s="2"/>
      <c r="R899" s="3"/>
      <c r="S899" s="3"/>
    </row>
    <row r="900" ht="15.75" customHeight="1">
      <c r="P900" s="2"/>
      <c r="R900" s="3"/>
      <c r="S900" s="3"/>
    </row>
    <row r="901" ht="15.75" customHeight="1">
      <c r="P901" s="2"/>
      <c r="R901" s="3"/>
      <c r="S901" s="3"/>
    </row>
    <row r="902" ht="15.75" customHeight="1">
      <c r="P902" s="2"/>
      <c r="R902" s="3"/>
      <c r="S902" s="3"/>
    </row>
    <row r="903" ht="15.75" customHeight="1">
      <c r="P903" s="2"/>
      <c r="R903" s="3"/>
      <c r="S903" s="3"/>
    </row>
    <row r="904" ht="15.75" customHeight="1">
      <c r="P904" s="2"/>
      <c r="R904" s="3"/>
      <c r="S904" s="3"/>
    </row>
    <row r="905" ht="15.75" customHeight="1">
      <c r="P905" s="2"/>
      <c r="R905" s="3"/>
      <c r="S905" s="3"/>
    </row>
    <row r="906" ht="15.75" customHeight="1">
      <c r="P906" s="2"/>
      <c r="R906" s="3"/>
      <c r="S906" s="3"/>
    </row>
    <row r="907" ht="15.75" customHeight="1">
      <c r="P907" s="2"/>
      <c r="R907" s="3"/>
      <c r="S907" s="3"/>
    </row>
    <row r="908" ht="15.75" customHeight="1">
      <c r="P908" s="2"/>
      <c r="R908" s="3"/>
      <c r="S908" s="3"/>
    </row>
    <row r="909" ht="15.75" customHeight="1">
      <c r="P909" s="2"/>
      <c r="R909" s="3"/>
      <c r="S909" s="3"/>
    </row>
    <row r="910" ht="15.75" customHeight="1">
      <c r="P910" s="2"/>
      <c r="R910" s="3"/>
      <c r="S910" s="3"/>
    </row>
    <row r="911" ht="15.75" customHeight="1">
      <c r="P911" s="2"/>
      <c r="R911" s="3"/>
      <c r="S911" s="3"/>
    </row>
    <row r="912" ht="15.75" customHeight="1">
      <c r="P912" s="2"/>
      <c r="R912" s="3"/>
      <c r="S912" s="3"/>
    </row>
    <row r="913" ht="15.75" customHeight="1">
      <c r="P913" s="2"/>
      <c r="R913" s="3"/>
      <c r="S913" s="3"/>
    </row>
    <row r="914" ht="15.75" customHeight="1">
      <c r="P914" s="2"/>
      <c r="R914" s="3"/>
      <c r="S914" s="3"/>
    </row>
    <row r="915" ht="15.75" customHeight="1">
      <c r="P915" s="2"/>
      <c r="R915" s="3"/>
      <c r="S915" s="3"/>
    </row>
    <row r="916" ht="15.75" customHeight="1">
      <c r="P916" s="2"/>
      <c r="R916" s="3"/>
      <c r="S916" s="3"/>
    </row>
    <row r="917" ht="15.75" customHeight="1">
      <c r="P917" s="2"/>
      <c r="R917" s="3"/>
      <c r="S917" s="3"/>
    </row>
    <row r="918" ht="15.75" customHeight="1">
      <c r="P918" s="2"/>
      <c r="R918" s="3"/>
      <c r="S918" s="3"/>
    </row>
    <row r="919" ht="15.75" customHeight="1">
      <c r="P919" s="2"/>
      <c r="R919" s="3"/>
      <c r="S919" s="3"/>
    </row>
    <row r="920" ht="15.75" customHeight="1">
      <c r="P920" s="2"/>
      <c r="R920" s="3"/>
      <c r="S920" s="3"/>
    </row>
    <row r="921" ht="15.75" customHeight="1">
      <c r="P921" s="2"/>
      <c r="R921" s="3"/>
      <c r="S921" s="3"/>
    </row>
    <row r="922" ht="15.75" customHeight="1">
      <c r="P922" s="2"/>
      <c r="R922" s="3"/>
      <c r="S922" s="3"/>
    </row>
    <row r="923" ht="15.75" customHeight="1">
      <c r="P923" s="2"/>
      <c r="R923" s="3"/>
      <c r="S923" s="3"/>
    </row>
    <row r="924" ht="15.75" customHeight="1">
      <c r="P924" s="2"/>
      <c r="R924" s="3"/>
      <c r="S924" s="3"/>
    </row>
    <row r="925" ht="15.75" customHeight="1">
      <c r="P925" s="2"/>
      <c r="R925" s="3"/>
      <c r="S925" s="3"/>
    </row>
    <row r="926" ht="15.75" customHeight="1">
      <c r="P926" s="2"/>
      <c r="R926" s="3"/>
      <c r="S926" s="3"/>
    </row>
    <row r="927" ht="15.75" customHeight="1">
      <c r="P927" s="2"/>
      <c r="R927" s="3"/>
      <c r="S927" s="3"/>
    </row>
    <row r="928" ht="15.75" customHeight="1">
      <c r="P928" s="2"/>
      <c r="R928" s="3"/>
      <c r="S928" s="3"/>
    </row>
    <row r="929" ht="15.75" customHeight="1">
      <c r="P929" s="2"/>
      <c r="R929" s="3"/>
      <c r="S929" s="3"/>
    </row>
    <row r="930" ht="15.75" customHeight="1">
      <c r="P930" s="2"/>
      <c r="R930" s="3"/>
      <c r="S930" s="3"/>
    </row>
    <row r="931" ht="15.75" customHeight="1">
      <c r="P931" s="2"/>
      <c r="R931" s="3"/>
      <c r="S931" s="3"/>
    </row>
    <row r="932" ht="15.75" customHeight="1">
      <c r="P932" s="2"/>
      <c r="R932" s="3"/>
      <c r="S932" s="3"/>
    </row>
    <row r="933" ht="15.75" customHeight="1">
      <c r="P933" s="2"/>
      <c r="R933" s="3"/>
      <c r="S933" s="3"/>
    </row>
    <row r="934" ht="15.75" customHeight="1">
      <c r="P934" s="2"/>
      <c r="R934" s="3"/>
      <c r="S934" s="3"/>
    </row>
    <row r="935" ht="15.75" customHeight="1">
      <c r="P935" s="2"/>
      <c r="R935" s="3"/>
      <c r="S935" s="3"/>
    </row>
    <row r="936" ht="15.75" customHeight="1">
      <c r="P936" s="2"/>
      <c r="R936" s="3"/>
      <c r="S936" s="3"/>
    </row>
    <row r="937" ht="15.75" customHeight="1">
      <c r="P937" s="2"/>
      <c r="R937" s="3"/>
      <c r="S937" s="3"/>
    </row>
    <row r="938" ht="15.75" customHeight="1">
      <c r="P938" s="2"/>
      <c r="R938" s="3"/>
      <c r="S938" s="3"/>
    </row>
    <row r="939" ht="15.75" customHeight="1">
      <c r="P939" s="2"/>
      <c r="R939" s="3"/>
      <c r="S939" s="3"/>
    </row>
    <row r="940" ht="15.75" customHeight="1">
      <c r="P940" s="2"/>
      <c r="R940" s="3"/>
      <c r="S940" s="3"/>
    </row>
    <row r="941" ht="15.75" customHeight="1">
      <c r="P941" s="2"/>
      <c r="R941" s="3"/>
      <c r="S941" s="3"/>
    </row>
    <row r="942" ht="15.75" customHeight="1">
      <c r="P942" s="2"/>
      <c r="R942" s="3"/>
      <c r="S942" s="3"/>
    </row>
    <row r="943" ht="15.75" customHeight="1">
      <c r="P943" s="2"/>
      <c r="R943" s="3"/>
      <c r="S943" s="3"/>
    </row>
    <row r="944" ht="15.75" customHeight="1">
      <c r="P944" s="2"/>
      <c r="R944" s="3"/>
      <c r="S944" s="3"/>
    </row>
    <row r="945" ht="15.75" customHeight="1">
      <c r="P945" s="2"/>
      <c r="R945" s="3"/>
      <c r="S945" s="3"/>
    </row>
    <row r="946" ht="15.75" customHeight="1">
      <c r="P946" s="2"/>
      <c r="R946" s="3"/>
      <c r="S946" s="3"/>
    </row>
    <row r="947" ht="15.75" customHeight="1">
      <c r="P947" s="2"/>
      <c r="R947" s="3"/>
      <c r="S947" s="3"/>
    </row>
    <row r="948" ht="15.75" customHeight="1">
      <c r="P948" s="2"/>
      <c r="R948" s="3"/>
      <c r="S948" s="3"/>
    </row>
    <row r="949" ht="15.75" customHeight="1">
      <c r="P949" s="2"/>
      <c r="R949" s="3"/>
      <c r="S949" s="3"/>
    </row>
    <row r="950" ht="15.75" customHeight="1">
      <c r="P950" s="2"/>
      <c r="R950" s="3"/>
      <c r="S950" s="3"/>
    </row>
    <row r="951" ht="15.75" customHeight="1">
      <c r="P951" s="2"/>
      <c r="R951" s="3"/>
      <c r="S951" s="3"/>
    </row>
    <row r="952" ht="15.75" customHeight="1">
      <c r="P952" s="2"/>
      <c r="R952" s="3"/>
      <c r="S952" s="3"/>
    </row>
    <row r="953" ht="15.75" customHeight="1">
      <c r="P953" s="2"/>
      <c r="R953" s="3"/>
      <c r="S953" s="3"/>
    </row>
    <row r="954" ht="15.75" customHeight="1">
      <c r="P954" s="2"/>
      <c r="R954" s="3"/>
      <c r="S954" s="3"/>
    </row>
    <row r="955" ht="15.75" customHeight="1">
      <c r="P955" s="2"/>
      <c r="R955" s="3"/>
      <c r="S955" s="3"/>
    </row>
    <row r="956" ht="15.75" customHeight="1">
      <c r="P956" s="2"/>
      <c r="R956" s="3"/>
      <c r="S956" s="3"/>
    </row>
    <row r="957" ht="15.75" customHeight="1">
      <c r="P957" s="2"/>
      <c r="R957" s="3"/>
      <c r="S957" s="3"/>
    </row>
    <row r="958" ht="15.75" customHeight="1">
      <c r="P958" s="2"/>
      <c r="R958" s="3"/>
      <c r="S958" s="3"/>
    </row>
    <row r="959" ht="15.75" customHeight="1">
      <c r="P959" s="2"/>
      <c r="R959" s="3"/>
      <c r="S959" s="3"/>
    </row>
    <row r="960" ht="15.75" customHeight="1">
      <c r="P960" s="2"/>
      <c r="R960" s="3"/>
      <c r="S960" s="3"/>
    </row>
    <row r="961" ht="15.75" customHeight="1">
      <c r="P961" s="2"/>
      <c r="R961" s="3"/>
      <c r="S961" s="3"/>
    </row>
    <row r="962" ht="15.75" customHeight="1">
      <c r="P962" s="2"/>
      <c r="R962" s="3"/>
      <c r="S962" s="3"/>
    </row>
    <row r="963" ht="15.75" customHeight="1">
      <c r="P963" s="2"/>
      <c r="R963" s="3"/>
      <c r="S963" s="3"/>
    </row>
    <row r="964" ht="15.75" customHeight="1">
      <c r="P964" s="2"/>
      <c r="R964" s="3"/>
      <c r="S964" s="3"/>
    </row>
    <row r="965" ht="15.75" customHeight="1">
      <c r="P965" s="2"/>
      <c r="R965" s="3"/>
      <c r="S965" s="3"/>
    </row>
    <row r="966" ht="15.75" customHeight="1">
      <c r="P966" s="2"/>
      <c r="R966" s="3"/>
      <c r="S966" s="3"/>
    </row>
    <row r="967" ht="15.75" customHeight="1">
      <c r="P967" s="2"/>
      <c r="R967" s="3"/>
      <c r="S967" s="3"/>
    </row>
    <row r="968" ht="15.75" customHeight="1">
      <c r="P968" s="2"/>
      <c r="R968" s="3"/>
      <c r="S968" s="3"/>
    </row>
    <row r="969" ht="15.75" customHeight="1">
      <c r="P969" s="2"/>
      <c r="R969" s="3"/>
      <c r="S969" s="3"/>
    </row>
    <row r="970" ht="15.75" customHeight="1">
      <c r="P970" s="2"/>
      <c r="R970" s="3"/>
      <c r="S970" s="3"/>
    </row>
    <row r="971" ht="15.75" customHeight="1">
      <c r="P971" s="2"/>
      <c r="R971" s="3"/>
      <c r="S971" s="3"/>
    </row>
    <row r="972" ht="15.75" customHeight="1">
      <c r="P972" s="2"/>
      <c r="R972" s="3"/>
      <c r="S972" s="3"/>
    </row>
    <row r="973" ht="15.75" customHeight="1">
      <c r="P973" s="2"/>
      <c r="R973" s="3"/>
      <c r="S973" s="3"/>
    </row>
    <row r="974" ht="15.75" customHeight="1">
      <c r="P974" s="2"/>
      <c r="R974" s="3"/>
      <c r="S974" s="3"/>
    </row>
    <row r="975" ht="15.75" customHeight="1">
      <c r="P975" s="2"/>
      <c r="R975" s="3"/>
      <c r="S975" s="3"/>
    </row>
    <row r="976" ht="15.75" customHeight="1">
      <c r="P976" s="2"/>
      <c r="R976" s="3"/>
      <c r="S976" s="3"/>
    </row>
    <row r="977" ht="15.75" customHeight="1">
      <c r="P977" s="2"/>
      <c r="R977" s="3"/>
      <c r="S977" s="3"/>
    </row>
    <row r="978" ht="15.75" customHeight="1">
      <c r="P978" s="2"/>
      <c r="R978" s="3"/>
      <c r="S978" s="3"/>
    </row>
    <row r="979" ht="15.75" customHeight="1">
      <c r="P979" s="2"/>
      <c r="R979" s="3"/>
      <c r="S979" s="3"/>
    </row>
    <row r="980" ht="15.75" customHeight="1">
      <c r="P980" s="2"/>
      <c r="R980" s="3"/>
      <c r="S980" s="3"/>
    </row>
    <row r="981" ht="15.75" customHeight="1">
      <c r="P981" s="2"/>
      <c r="R981" s="3"/>
      <c r="S981" s="3"/>
    </row>
    <row r="982" ht="15.75" customHeight="1">
      <c r="P982" s="2"/>
      <c r="R982" s="3"/>
      <c r="S982" s="3"/>
    </row>
    <row r="983" ht="15.75" customHeight="1">
      <c r="P983" s="2"/>
      <c r="R983" s="3"/>
      <c r="S983" s="3"/>
    </row>
    <row r="984" ht="15.75" customHeight="1">
      <c r="P984" s="2"/>
      <c r="R984" s="3"/>
      <c r="S984" s="3"/>
    </row>
    <row r="985" ht="15.75" customHeight="1">
      <c r="P985" s="2"/>
      <c r="R985" s="3"/>
      <c r="S985" s="3"/>
    </row>
    <row r="986" ht="15.75" customHeight="1">
      <c r="P986" s="2"/>
      <c r="R986" s="3"/>
      <c r="S986" s="3"/>
    </row>
    <row r="987" ht="15.75" customHeight="1">
      <c r="P987" s="2"/>
      <c r="R987" s="3"/>
      <c r="S987" s="3"/>
    </row>
    <row r="988" ht="15.75" customHeight="1">
      <c r="P988" s="2"/>
      <c r="R988" s="3"/>
      <c r="S988" s="3"/>
    </row>
    <row r="989" ht="15.75" customHeight="1">
      <c r="P989" s="2"/>
      <c r="R989" s="3"/>
      <c r="S989" s="3"/>
    </row>
    <row r="990" ht="15.75" customHeight="1">
      <c r="P990" s="2"/>
      <c r="R990" s="3"/>
      <c r="S990" s="3"/>
    </row>
    <row r="991" ht="15.75" customHeight="1">
      <c r="P991" s="2"/>
      <c r="R991" s="3"/>
      <c r="S991" s="3"/>
    </row>
    <row r="992" ht="15.75" customHeight="1">
      <c r="P992" s="2"/>
      <c r="R992" s="3"/>
      <c r="S992" s="3"/>
    </row>
    <row r="993" ht="15.75" customHeight="1">
      <c r="P993" s="2"/>
      <c r="R993" s="3"/>
      <c r="S993" s="3"/>
    </row>
    <row r="994" ht="15.75" customHeight="1">
      <c r="P994" s="2"/>
      <c r="R994" s="3"/>
      <c r="S994" s="3"/>
    </row>
    <row r="995" ht="15.75" customHeight="1">
      <c r="P995" s="2"/>
      <c r="R995" s="3"/>
      <c r="S995" s="3"/>
    </row>
    <row r="996" ht="15.75" customHeight="1">
      <c r="P996" s="2"/>
      <c r="R996" s="3"/>
      <c r="S996" s="3"/>
    </row>
    <row r="997" ht="15.75" customHeight="1">
      <c r="P997" s="2"/>
      <c r="R997" s="3"/>
      <c r="S997" s="3"/>
    </row>
    <row r="998" ht="15.75" customHeight="1">
      <c r="P998" s="2"/>
      <c r="R998" s="3"/>
      <c r="S998" s="3"/>
    </row>
    <row r="999" ht="15.75" customHeight="1">
      <c r="P999" s="2"/>
      <c r="R999" s="3"/>
      <c r="S999" s="3"/>
    </row>
    <row r="1000" ht="15.75" customHeight="1">
      <c r="P1000" s="2"/>
      <c r="R1000" s="3"/>
      <c r="S1000" s="3"/>
    </row>
  </sheetData>
  <mergeCells count="65">
    <mergeCell ref="P27:Q27"/>
    <mergeCell ref="R27:S27"/>
    <mergeCell ref="T27:U27"/>
    <mergeCell ref="V27:W27"/>
    <mergeCell ref="X27:Y27"/>
    <mergeCell ref="Z27:AA27"/>
    <mergeCell ref="B27:C27"/>
    <mergeCell ref="D27:E27"/>
    <mergeCell ref="F27:G27"/>
    <mergeCell ref="H27:I27"/>
    <mergeCell ref="J27:K27"/>
    <mergeCell ref="L27:M27"/>
    <mergeCell ref="N27:O27"/>
    <mergeCell ref="P2:Q2"/>
    <mergeCell ref="R2:S2"/>
    <mergeCell ref="T2:U2"/>
    <mergeCell ref="V2:W2"/>
    <mergeCell ref="X2:Y2"/>
    <mergeCell ref="Z2:AA2"/>
    <mergeCell ref="B2:C2"/>
    <mergeCell ref="D2:E2"/>
    <mergeCell ref="F2:G2"/>
    <mergeCell ref="H2:I2"/>
    <mergeCell ref="J2:K2"/>
    <mergeCell ref="L2:M2"/>
    <mergeCell ref="N2:O2"/>
    <mergeCell ref="P3:Q3"/>
    <mergeCell ref="R3:S3"/>
    <mergeCell ref="T3:U3"/>
    <mergeCell ref="V3:W3"/>
    <mergeCell ref="X3:Y3"/>
    <mergeCell ref="Z3:AA3"/>
    <mergeCell ref="B3:C3"/>
    <mergeCell ref="D3:E3"/>
    <mergeCell ref="F3:G3"/>
    <mergeCell ref="H3:I3"/>
    <mergeCell ref="J3:K3"/>
    <mergeCell ref="L3:M3"/>
    <mergeCell ref="N3:O3"/>
    <mergeCell ref="P4:Q4"/>
    <mergeCell ref="R4:S4"/>
    <mergeCell ref="T4:U4"/>
    <mergeCell ref="V4:W4"/>
    <mergeCell ref="X4:Y4"/>
    <mergeCell ref="Z4:AA4"/>
    <mergeCell ref="B4:C4"/>
    <mergeCell ref="D4:E4"/>
    <mergeCell ref="F4:G4"/>
    <mergeCell ref="H4:I4"/>
    <mergeCell ref="J4:K4"/>
    <mergeCell ref="L4:M4"/>
    <mergeCell ref="N4:O4"/>
    <mergeCell ref="P28:Q28"/>
    <mergeCell ref="R28:S28"/>
    <mergeCell ref="T28:U28"/>
    <mergeCell ref="V28:W28"/>
    <mergeCell ref="X28:Y28"/>
    <mergeCell ref="Z28:AA28"/>
    <mergeCell ref="B28:C28"/>
    <mergeCell ref="D28:E28"/>
    <mergeCell ref="F28:G28"/>
    <mergeCell ref="H28:I28"/>
    <mergeCell ref="J28:K28"/>
    <mergeCell ref="L28:M28"/>
    <mergeCell ref="N28:O28"/>
  </mergeCells>
  <printOptions/>
  <pageMargins bottom="0.75" footer="0.0" header="0.0" left="0.7" right="0.7" top="0.75"/>
  <pageSetup paperSize="3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8.71"/>
    <col customWidth="1" min="3" max="3" width="14.0"/>
    <col customWidth="1" min="4" max="4" width="18.29"/>
    <col customWidth="1" min="5" max="26" width="8.71"/>
  </cols>
  <sheetData>
    <row r="1">
      <c r="A1" s="1" t="s">
        <v>39</v>
      </c>
      <c r="C1" s="144" t="s">
        <v>40</v>
      </c>
      <c r="D1" s="145">
        <v>42052.0</v>
      </c>
    </row>
    <row r="3">
      <c r="A3" s="146" t="s">
        <v>41</v>
      </c>
      <c r="B3" s="146"/>
      <c r="C3" s="146"/>
      <c r="D3" s="146" t="s">
        <v>42</v>
      </c>
    </row>
    <row r="4">
      <c r="A4" s="147" t="s">
        <v>18</v>
      </c>
      <c r="B4" s="148"/>
      <c r="C4" s="148"/>
      <c r="D4" s="149"/>
    </row>
    <row r="5">
      <c r="A5" s="147" t="s">
        <v>19</v>
      </c>
      <c r="B5" s="148"/>
      <c r="C5" s="148"/>
      <c r="D5" s="149"/>
      <c r="H5" s="150">
        <v>1980.0</v>
      </c>
      <c r="I5" s="151"/>
    </row>
    <row r="6">
      <c r="A6" s="147" t="s">
        <v>20</v>
      </c>
      <c r="B6" s="148"/>
      <c r="C6" s="148"/>
      <c r="D6" s="149"/>
      <c r="H6" s="150">
        <v>140.0</v>
      </c>
      <c r="I6" s="152">
        <v>7.07</v>
      </c>
    </row>
    <row r="7">
      <c r="A7" s="147" t="s">
        <v>43</v>
      </c>
      <c r="B7" s="148"/>
      <c r="C7" s="148"/>
      <c r="D7" s="149"/>
      <c r="H7" s="150">
        <v>30.0</v>
      </c>
      <c r="I7" s="152">
        <v>1.51</v>
      </c>
    </row>
    <row r="8">
      <c r="A8" s="147" t="s">
        <v>22</v>
      </c>
      <c r="B8" s="148"/>
      <c r="C8" s="148"/>
      <c r="D8" s="149"/>
      <c r="H8" s="150">
        <v>60.0</v>
      </c>
      <c r="I8" s="152">
        <v>3.03</v>
      </c>
    </row>
    <row r="9">
      <c r="A9" s="147" t="s">
        <v>23</v>
      </c>
      <c r="B9" s="148"/>
      <c r="C9" s="148"/>
      <c r="D9" s="149"/>
      <c r="H9" s="150">
        <v>200.0</v>
      </c>
      <c r="I9" s="152">
        <v>10.1</v>
      </c>
    </row>
    <row r="10">
      <c r="A10" s="147" t="s">
        <v>24</v>
      </c>
      <c r="B10" s="148"/>
      <c r="C10" s="148"/>
      <c r="D10" s="149"/>
      <c r="H10" s="150">
        <v>100.0</v>
      </c>
      <c r="I10" s="152">
        <v>5.05</v>
      </c>
    </row>
    <row r="11">
      <c r="A11" s="147" t="s">
        <v>25</v>
      </c>
      <c r="B11" s="148"/>
      <c r="C11" s="148"/>
      <c r="D11" s="149"/>
      <c r="H11" s="150">
        <v>5.0</v>
      </c>
      <c r="I11" s="152">
        <v>0.25</v>
      </c>
    </row>
    <row r="12">
      <c r="A12" s="147" t="s">
        <v>26</v>
      </c>
      <c r="B12" s="148"/>
      <c r="C12" s="148"/>
      <c r="D12" s="149"/>
      <c r="H12" s="150">
        <v>35.0</v>
      </c>
      <c r="I12" s="152">
        <v>1.76</v>
      </c>
    </row>
    <row r="13">
      <c r="A13" s="147" t="s">
        <v>27</v>
      </c>
      <c r="B13" s="148"/>
      <c r="C13" s="148"/>
      <c r="D13" s="149"/>
      <c r="H13" s="150">
        <v>31.0</v>
      </c>
      <c r="I13" s="152">
        <v>1.56</v>
      </c>
    </row>
    <row r="14">
      <c r="A14" s="147" t="s">
        <v>28</v>
      </c>
      <c r="B14" s="148"/>
      <c r="C14" s="148"/>
      <c r="D14" s="149"/>
      <c r="H14" s="150">
        <v>5.0</v>
      </c>
      <c r="I14" s="152">
        <v>0.25</v>
      </c>
    </row>
    <row r="15">
      <c r="A15" s="147" t="s">
        <v>44</v>
      </c>
      <c r="B15" s="148"/>
      <c r="C15" s="148"/>
      <c r="D15" s="149"/>
      <c r="H15" s="150">
        <v>65.0</v>
      </c>
      <c r="I15" s="152">
        <v>3.28</v>
      </c>
    </row>
    <row r="16">
      <c r="A16" s="147" t="s">
        <v>30</v>
      </c>
      <c r="B16" s="148"/>
      <c r="C16" s="148"/>
      <c r="D16" s="149"/>
      <c r="H16" s="150">
        <v>20.0</v>
      </c>
      <c r="I16" s="152">
        <v>1.01</v>
      </c>
    </row>
    <row r="17">
      <c r="A17" s="147" t="s">
        <v>32</v>
      </c>
      <c r="B17" s="148"/>
      <c r="C17" s="148"/>
      <c r="D17" s="149"/>
      <c r="H17" s="150">
        <v>15.0</v>
      </c>
      <c r="I17" s="152">
        <v>0.75</v>
      </c>
    </row>
    <row r="18">
      <c r="H18" s="150">
        <v>10.0</v>
      </c>
      <c r="I18" s="152">
        <v>0.5</v>
      </c>
    </row>
    <row r="19">
      <c r="H19" s="150">
        <v>1.0</v>
      </c>
      <c r="I19" s="152">
        <v>0.05</v>
      </c>
    </row>
    <row r="20">
      <c r="C20" s="1">
        <f>1980/7920</f>
        <v>0.25</v>
      </c>
      <c r="H20" s="150">
        <v>3.0</v>
      </c>
      <c r="I20" s="152">
        <v>0.15</v>
      </c>
    </row>
    <row r="21" ht="15.75" customHeight="1">
      <c r="H21" s="153">
        <f t="shared" ref="H21:I21" si="1">SUM(H6:H20)</f>
        <v>720</v>
      </c>
      <c r="I21" s="154">
        <f t="shared" si="1"/>
        <v>36.32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2014-07-30T16:25:27Z</dcterms:created>
  <dc:creator>Owner</dc:creator>
</cp:coreProperties>
</file>